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est\Post Fiat\value-creation-bridge-toolkit\"/>
    </mc:Choice>
  </mc:AlternateContent>
  <xr:revisionPtr revIDLastSave="0" documentId="13_ncr:1_{742A2F18-1595-4833-81B3-F491802922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dMe - Validator Instructions" sheetId="1" r:id="rId1"/>
    <sheet name="Entry and Exit Assumptions" sheetId="2" r:id="rId2"/>
    <sheet name="Value Driver Inputs" sheetId="3" r:id="rId3"/>
    <sheet name="Equity Value Creation Bridge" sheetId="4" r:id="rId4"/>
    <sheet name="Lever Impact Ranking" sheetId="5" r:id="rId5"/>
    <sheet name="Summary Recommendation" sheetId="6" r:id="rId6"/>
    <sheet name="Anonymized Worked Exampl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7" l="1"/>
  <c r="C29" i="7"/>
  <c r="E28" i="7"/>
  <c r="D28" i="7"/>
  <c r="C28" i="7"/>
  <c r="D27" i="7"/>
  <c r="C27" i="7"/>
  <c r="D26" i="7"/>
  <c r="C26" i="7"/>
  <c r="A22" i="7"/>
  <c r="A21" i="7"/>
  <c r="A20" i="7"/>
  <c r="A19" i="7"/>
  <c r="A18" i="7"/>
  <c r="A17" i="7"/>
  <c r="A16" i="7"/>
  <c r="A15" i="7"/>
  <c r="A14" i="7"/>
  <c r="B10" i="7"/>
  <c r="B9" i="7"/>
  <c r="B6" i="7"/>
  <c r="B25" i="6"/>
  <c r="B24" i="6"/>
  <c r="B19" i="6"/>
  <c r="B17" i="6"/>
  <c r="B16" i="6"/>
  <c r="B14" i="6"/>
  <c r="B12" i="6"/>
  <c r="B10" i="6"/>
  <c r="B9" i="6"/>
  <c r="C18" i="5"/>
  <c r="C17" i="5"/>
  <c r="A10" i="5"/>
  <c r="A9" i="5"/>
  <c r="A8" i="5"/>
  <c r="A7" i="5"/>
  <c r="A6" i="5"/>
  <c r="A5" i="5"/>
  <c r="A4" i="5"/>
  <c r="D6" i="4"/>
  <c r="B28" i="3"/>
  <c r="B27" i="3"/>
  <c r="B26" i="3"/>
  <c r="B25" i="3"/>
  <c r="B24" i="3"/>
  <c r="B23" i="3"/>
  <c r="B22" i="3"/>
  <c r="B13" i="3"/>
  <c r="B9" i="3"/>
  <c r="D9" i="4" s="1"/>
  <c r="B19" i="7" s="1"/>
  <c r="B5" i="3"/>
  <c r="D5" i="4" s="1"/>
  <c r="B7" i="2"/>
  <c r="B9" i="2" s="1"/>
  <c r="B12" i="2" s="1"/>
  <c r="E34" i="1"/>
  <c r="E28" i="1"/>
  <c r="B29" i="6"/>
  <c r="F19" i="4"/>
  <c r="F6" i="4"/>
  <c r="F15" i="4"/>
  <c r="F11" i="4"/>
  <c r="F18" i="4"/>
  <c r="F17" i="4"/>
  <c r="F10" i="4"/>
  <c r="F13" i="4"/>
  <c r="F7" i="4"/>
  <c r="F16" i="4"/>
  <c r="F12" i="4"/>
  <c r="F8" i="4"/>
  <c r="F14" i="4"/>
  <c r="F5" i="4"/>
  <c r="F4" i="4"/>
  <c r="F9" i="4"/>
  <c r="B10" i="3" l="1"/>
  <c r="B12" i="3" s="1"/>
  <c r="C25" i="3" s="1"/>
  <c r="D25" i="3" s="1"/>
  <c r="E25" i="3" s="1"/>
  <c r="F25" i="3" s="1"/>
  <c r="C28" i="3"/>
  <c r="D28" i="3" s="1"/>
  <c r="E28" i="3" s="1"/>
  <c r="F28" i="3" s="1"/>
  <c r="B18" i="6"/>
  <c r="C23" i="3"/>
  <c r="D23" i="3" s="1"/>
  <c r="C24" i="3"/>
  <c r="D24" i="3" s="1"/>
  <c r="E24" i="3" s="1"/>
  <c r="F24" i="3" s="1"/>
  <c r="B29" i="3"/>
  <c r="B30" i="3" s="1"/>
  <c r="E30" i="1" s="1"/>
  <c r="B15" i="7"/>
  <c r="C4" i="5"/>
  <c r="B8" i="7"/>
  <c r="D8" i="4"/>
  <c r="D4" i="4"/>
  <c r="B7" i="7"/>
  <c r="B5" i="7"/>
  <c r="C5" i="5"/>
  <c r="B11" i="2"/>
  <c r="C22" i="3"/>
  <c r="D7" i="4"/>
  <c r="C8" i="5"/>
  <c r="B16" i="7"/>
  <c r="E23" i="3" l="1"/>
  <c r="F23" i="3" s="1"/>
  <c r="E27" i="7"/>
  <c r="C26" i="3"/>
  <c r="D26" i="3" s="1"/>
  <c r="E26" i="3" s="1"/>
  <c r="F26" i="3" s="1"/>
  <c r="D13" i="4"/>
  <c r="C27" i="3"/>
  <c r="D27" i="3" s="1"/>
  <c r="B20" i="6"/>
  <c r="B21" i="6" s="1"/>
  <c r="B22" i="6" s="1"/>
  <c r="E26" i="7"/>
  <c r="B17" i="7"/>
  <c r="C6" i="5"/>
  <c r="D22" i="3"/>
  <c r="B14" i="5"/>
  <c r="B14" i="7"/>
  <c r="B4" i="6"/>
  <c r="C7" i="5"/>
  <c r="B18" i="7"/>
  <c r="E27" i="3" l="1"/>
  <c r="F27" i="3" s="1"/>
  <c r="C29" i="3"/>
  <c r="E29" i="7" s="1"/>
  <c r="E30" i="7" s="1"/>
  <c r="B23" i="6"/>
  <c r="B35" i="7" s="1"/>
  <c r="E22" i="3"/>
  <c r="E29" i="3" s="1"/>
  <c r="D10" i="4" s="1"/>
  <c r="D29" i="3"/>
  <c r="D14" i="4" s="1"/>
  <c r="D15" i="4" s="1"/>
  <c r="B15" i="5"/>
  <c r="C9" i="5" l="1"/>
  <c r="B20" i="7"/>
  <c r="F22" i="3"/>
  <c r="F29" i="3" s="1"/>
  <c r="D11" i="4" s="1"/>
  <c r="D12" i="4" s="1"/>
  <c r="D16" i="4" l="1"/>
  <c r="B22" i="7"/>
  <c r="E33" i="1" s="1"/>
  <c r="D17" i="4"/>
  <c r="B5" i="6"/>
  <c r="D18" i="4"/>
  <c r="B21" i="7"/>
  <c r="C10" i="5"/>
  <c r="E10" i="5" s="1"/>
  <c r="E11" i="4"/>
  <c r="B16" i="5"/>
  <c r="E4" i="5"/>
  <c r="C21" i="7" l="1"/>
  <c r="D10" i="5"/>
  <c r="E7" i="5"/>
  <c r="E6" i="5"/>
  <c r="D19" i="4"/>
  <c r="B8" i="6" s="1"/>
  <c r="B34" i="7" s="1"/>
  <c r="B7" i="6"/>
  <c r="E8" i="5"/>
  <c r="B19" i="5" s="1"/>
  <c r="B36" i="7" s="1"/>
  <c r="E5" i="5"/>
  <c r="B6" i="6"/>
  <c r="E6" i="4"/>
  <c r="E5" i="4"/>
  <c r="E9" i="4"/>
  <c r="E8" i="4"/>
  <c r="E7" i="4"/>
  <c r="B17" i="5"/>
  <c r="E10" i="4"/>
  <c r="B18" i="5"/>
  <c r="E9" i="5"/>
  <c r="E16" i="4"/>
  <c r="E29" i="1"/>
  <c r="D6" i="5" l="1"/>
  <c r="C17" i="7"/>
  <c r="B33" i="7"/>
  <c r="D7" i="5"/>
  <c r="C18" i="7"/>
  <c r="C19" i="7"/>
  <c r="D8" i="5"/>
  <c r="E27" i="1"/>
  <c r="B26" i="6"/>
  <c r="D4" i="5"/>
  <c r="C15" i="7"/>
  <c r="D5" i="5"/>
  <c r="C16" i="7"/>
  <c r="D18" i="5"/>
  <c r="B13" i="6"/>
  <c r="D9" i="5"/>
  <c r="B20" i="5" s="1"/>
  <c r="C20" i="7"/>
  <c r="D17" i="5"/>
  <c r="B11" i="6"/>
  <c r="B28" i="6" s="1"/>
  <c r="B38" i="7" s="1"/>
  <c r="E31" i="1" l="1"/>
  <c r="B27" i="6"/>
  <c r="B37" i="7" l="1"/>
  <c r="E32" i="1"/>
</calcChain>
</file>

<file path=xl/sharedStrings.xml><?xml version="1.0" encoding="utf-8"?>
<sst xmlns="http://schemas.openxmlformats.org/spreadsheetml/2006/main" count="390" uniqueCount="287">
  <si>
    <t>Equity Value Creation Bridge Toolkit - v1.0</t>
  </si>
  <si>
    <t>Post Fiat Analytical Infrastructure Library | Reusable LMM private equity workflow | Formula-driven, anonymized</t>
  </si>
  <si>
    <t>Purpose</t>
  </si>
  <si>
    <t>Bridges sponsor entry equity to exit equity across seven levers: organic revenue growth, add-on revenue, margin change, multiple change, add-on purchase price, debt paydown and cash generation. It then ranks the levers, tests reliance on multiple expansion, runs a downside case and returns one underwriting recommendation.</t>
  </si>
  <si>
    <t>How to use</t>
  </si>
  <si>
    <t>1. Enter deal inputs (yellow cells) on Entry and Exit Assumptions B5:B24 and Value Driver Inputs B4:B18.</t>
  </si>
  <si>
    <t>2. Check that Equity Value Creation Bridge E16 reads 'OK - bridge reconciles' and Value Driver Inputs B30 reads 'OK'.</t>
  </si>
  <si>
    <t>3. Read the lever ranking and reliance tests, then the recommendation in Summary Recommendation B27 and its reasoning in B28.</t>
  </si>
  <si>
    <t>4. Record each non-obvious underwriting choice as a named judgment call (see Anonymized Worked Example rows 26-29).</t>
  </si>
  <si>
    <t>Tabs</t>
  </si>
  <si>
    <t>#</t>
  </si>
  <si>
    <t>Tab</t>
  </si>
  <si>
    <t>What it does</t>
  </si>
  <si>
    <t>ReadMe - Validator Instructions</t>
  </si>
  <si>
    <t>Purpose, usage and validator checklist</t>
  </si>
  <si>
    <t>Entry and Exit Assumptions</t>
  </si>
  <si>
    <t>Entry valuation, exit multiple, return targets and downside settings</t>
  </si>
  <si>
    <t>Value Driver Inputs</t>
  </si>
  <si>
    <t>Operating levers and the annual EBITDA / FCF schedule</t>
  </si>
  <si>
    <t>Equity Value Creation Bridge</t>
  </si>
  <si>
    <t>Seven-step additive bridge with reconciliation and FORMULATEXT</t>
  </si>
  <si>
    <t>Lever Impact Ranking</t>
  </si>
  <si>
    <t>Lever ranking, categories and reliance tests</t>
  </si>
  <si>
    <t>Summary Recommendation</t>
  </si>
  <si>
    <t>Base and downside returns gated into one recommendation</t>
  </si>
  <si>
    <t>Anonymized Worked Example</t>
  </si>
  <si>
    <t>HoldCo B example: bridge output, chart, 4 named judgment calls, result</t>
  </si>
  <si>
    <t>Colour legend: yellow = input, blue = formula, green = key output. Tab 1 is named 'ReadMe - Validator Instructions' because Excel does not allow '/' in tab names.</t>
  </si>
  <si>
    <t>Validator checklist (criterion -&gt; tab -&gt; cell range -&gt; live check)</t>
  </si>
  <si>
    <t>Criterion</t>
  </si>
  <si>
    <t>Cell range</t>
  </si>
  <si>
    <t>Live check</t>
  </si>
  <si>
    <t>Bridge from entry equity to exit equity, all live formulas</t>
  </si>
  <si>
    <t>D4:D12; FORMULATEXT in F4:F19</t>
  </si>
  <si>
    <t>Levers: EBITDA growth (organic + add-on), margin, multiple, debt paydown, cash generation</t>
  </si>
  <si>
    <t>B5:E11</t>
  </si>
  <si>
    <t>Bridge reconciles to directly computed exit equity</t>
  </si>
  <si>
    <t>D13:D16; status E16</t>
  </si>
  <si>
    <t>Annual EBITDA / FCF schedule covers the hold period</t>
  </si>
  <si>
    <t>A22:F30; status B30</t>
  </si>
  <si>
    <t>Lever ranking and reliance tests</t>
  </si>
  <si>
    <t>A4:F10; A14:D20</t>
  </si>
  <si>
    <t>Clear recommendation with visible logic</t>
  </si>
  <si>
    <t>B27 (formula text in B29); reasoning B28</t>
  </si>
  <si>
    <t>Anonymized worked example with visible bridge output</t>
  </si>
  <si>
    <t>A14:C22 plus bar chart</t>
  </si>
  <si>
    <t>At least 3 named judgment calls</t>
  </si>
  <si>
    <t>A26:F29</t>
  </si>
  <si>
    <t>Zero formula errors</t>
  </si>
  <si>
    <t>All tabs</t>
  </si>
  <si>
    <t>Excel SpecialCells(xlFormulas, xlErrors) scan</t>
  </si>
  <si>
    <t>See README.md (recalculated in Excel)</t>
  </si>
  <si>
    <t>Yellow = input, blue = formula. $M unless noted. Change inputs here and on Value Driver Inputs; every other tab recalculates.</t>
  </si>
  <si>
    <t>Input</t>
  </si>
  <si>
    <t>Value</t>
  </si>
  <si>
    <t>Unit</t>
  </si>
  <si>
    <t>Source / note</t>
  </si>
  <si>
    <t>Deal code name</t>
  </si>
  <si>
    <t>HoldCo B (anonymized)</t>
  </si>
  <si>
    <t>text</t>
  </si>
  <si>
    <t>Code name only; no company identifiers.</t>
  </si>
  <si>
    <t>Entry LTM revenue</t>
  </si>
  <si>
    <t>$M</t>
  </si>
  <si>
    <t>Scaled, illustrative LMM services platform.</t>
  </si>
  <si>
    <t>Entry EBITDA margin</t>
  </si>
  <si>
    <t>%</t>
  </si>
  <si>
    <t>Quality-of-earnings adjusted.</t>
  </si>
  <si>
    <t>Entry LTM EBITDA</t>
  </si>
  <si>
    <t>Revenue x margin.</t>
  </si>
  <si>
    <t>Entry EV / EBITDA multiple</t>
  </si>
  <si>
    <t>x</t>
  </si>
  <si>
    <t>Purchase multiple paid.</t>
  </si>
  <si>
    <t>Entry enterprise value</t>
  </si>
  <si>
    <t>EBITDA x multiple.</t>
  </si>
  <si>
    <t>Entry net debt</t>
  </si>
  <si>
    <t>Acquisition debt less closing cash.</t>
  </si>
  <si>
    <t>Entry leverage (net debt / EBITDA)</t>
  </si>
  <si>
    <t>Sanity check vs lender appetite.</t>
  </si>
  <si>
    <t>Entry equity value</t>
  </si>
  <si>
    <t>Sponsor equity cheque (fees ignored).</t>
  </si>
  <si>
    <t>Hold period</t>
  </si>
  <si>
    <t>yrs</t>
  </si>
  <si>
    <t>Whole years, 1-7 (schedule supports up to 7).</t>
  </si>
  <si>
    <t>Underwritten exit EV / EBITDA multiple</t>
  </si>
  <si>
    <t>Judgment call JC1: held flat at entry multiple.</t>
  </si>
  <si>
    <t>Management-case exit multiple (reference only)</t>
  </si>
  <si>
    <t>Not underwritten; sizes JC1.</t>
  </si>
  <si>
    <t>Target gross MOIC</t>
  </si>
  <si>
    <t>Fund underwriting hurdle.</t>
  </si>
  <si>
    <t>Target gross IRR</t>
  </si>
  <si>
    <t>Base-case MOIC floor</t>
  </si>
  <si>
    <t>Below this, do not underwrite.</t>
  </si>
  <si>
    <t>Downside-case MOIC floor</t>
  </si>
  <si>
    <t>Capital-preservation test.</t>
  </si>
  <si>
    <t>Max share of value created from multiple change</t>
  </si>
  <si>
    <t>Limits reliance on market re-rating.</t>
  </si>
  <si>
    <t>Min share of value created from operational levers</t>
  </si>
  <si>
    <t>Organic growth + add-on + margin.</t>
  </si>
  <si>
    <t>Downside: exit multiple haircut</t>
  </si>
  <si>
    <t>Turns below underwritten exit multiple.</t>
  </si>
  <si>
    <t>Downside: organic growth credited</t>
  </si>
  <si>
    <t>Share of base organic CAGR achieved.</t>
  </si>
  <si>
    <t>Downside: margin change credited</t>
  </si>
  <si>
    <t>Share of base margin change achieved.</t>
  </si>
  <si>
    <t>Operating and financial levers over the hold period, plus the annual EBITDA / free cash flow schedule.</t>
  </si>
  <si>
    <t>Driver</t>
  </si>
  <si>
    <t>Organic revenue CAGR</t>
  </si>
  <si>
    <t>Price + volume; excludes add-ons.</t>
  </si>
  <si>
    <t>Organic exit revenue</t>
  </si>
  <si>
    <t>Entry revenue compounded over the hold.</t>
  </si>
  <si>
    <t>Add-on revenue acquired (run-rate at exit)</t>
  </si>
  <si>
    <t>JC3: one signed-LOI add-on only.</t>
  </si>
  <si>
    <t>Add-on EBITDA margin at acquisition</t>
  </si>
  <si>
    <t>Pre-synergy margin of the add-on.</t>
  </si>
  <si>
    <t>Add-on purchase multiple</t>
  </si>
  <si>
    <t>Multiple arbitrage vs platform entry multiple.</t>
  </si>
  <si>
    <t>Add-on purchase price (debt-funded)</t>
  </si>
  <si>
    <t>Funded with incremental debt.</t>
  </si>
  <si>
    <t>Exit revenue</t>
  </si>
  <si>
    <t>Organic + add-on.</t>
  </si>
  <si>
    <t>Exit EBITDA margin</t>
  </si>
  <si>
    <t>JC2: +200 bps credited of a +400 bps plan.</t>
  </si>
  <si>
    <t>Exit EBITDA</t>
  </si>
  <si>
    <t>Exit revenue x exit margin.</t>
  </si>
  <si>
    <t>Margin change vs entry</t>
  </si>
  <si>
    <t>bps</t>
  </si>
  <si>
    <t>Basis points.</t>
  </si>
  <si>
    <t>Cash conversion (FCF / EBITDA)</t>
  </si>
  <si>
    <t>JC4: after capex, cash tax and interest.</t>
  </si>
  <si>
    <t>Share of FCF swept to debt paydown</t>
  </si>
  <si>
    <t>Remainder retained as balance-sheet cash.</t>
  </si>
  <si>
    <t>Management-case exit margin (reference only)</t>
  </si>
  <si>
    <t>Not underwritten; sizes JC2.</t>
  </si>
  <si>
    <t>Management-case cash conversion (reference only)</t>
  </si>
  <si>
    <t>Not underwritten; sizes JC4.</t>
  </si>
  <si>
    <t>Add-on pipeline revenue excluded (reference only)</t>
  </si>
  <si>
    <t>Two unsigned targets; sizes JC3.</t>
  </si>
  <si>
    <t>Annual EBITDA and free cash flow schedule (linear EBITDA path from entry to exit)</t>
  </si>
  <si>
    <t>Year</t>
  </si>
  <si>
    <t>In hold? (1/0)</t>
  </si>
  <si>
    <t>EBITDA ($M)</t>
  </si>
  <si>
    <t>Free cash flow ($M)</t>
  </si>
  <si>
    <t>Debt paydown ($M)</t>
  </si>
  <si>
    <t>Cash retained ($M)</t>
  </si>
  <si>
    <t>Total</t>
  </si>
  <si>
    <t>Check: years modelled = hold period</t>
  </si>
  <si>
    <t>Entry equity -&gt; exit equity. Every step is a live formula; the additive bridge must reconcile to directly computed exit equity.</t>
  </si>
  <si>
    <t>Step</t>
  </si>
  <si>
    <t>Lever</t>
  </si>
  <si>
    <t>Logic</t>
  </si>
  <si>
    <t>Value ($M)</t>
  </si>
  <si>
    <t>% of value created</t>
  </si>
  <si>
    <t>Live formula (FORMULATEXT)</t>
  </si>
  <si>
    <t>Start</t>
  </si>
  <si>
    <t>Entry EV less entry net debt</t>
  </si>
  <si>
    <t>Step 1</t>
  </si>
  <si>
    <t>Organic revenue growth</t>
  </si>
  <si>
    <t>(Organic exit revenue - entry revenue) x entry margin x entry multiple</t>
  </si>
  <si>
    <t>Step 2</t>
  </si>
  <si>
    <t>Add-on revenue</t>
  </si>
  <si>
    <t>Add-on revenue x entry margin x entry multiple</t>
  </si>
  <si>
    <t>Step 3</t>
  </si>
  <si>
    <t>Margin change</t>
  </si>
  <si>
    <t>Exit revenue x (exit margin - entry margin) x entry multiple</t>
  </si>
  <si>
    <t>Step 4</t>
  </si>
  <si>
    <t>Multiple change</t>
  </si>
  <si>
    <t>Exit EBITDA x (exit multiple - entry multiple)</t>
  </si>
  <si>
    <t>Step 5</t>
  </si>
  <si>
    <t>Incremental debt raised to buy the add-on</t>
  </si>
  <si>
    <t>Step 6</t>
  </si>
  <si>
    <t>Debt paydown</t>
  </si>
  <si>
    <t>Cumulative FCF swept to debt</t>
  </si>
  <si>
    <t>Step 7</t>
  </si>
  <si>
    <t>Cash generation (retained)</t>
  </si>
  <si>
    <t>Cumulative FCF retained as cash</t>
  </si>
  <si>
    <t>End</t>
  </si>
  <si>
    <t>Exit equity value (bridge)</t>
  </si>
  <si>
    <t>Entry equity + steps 1-7</t>
  </si>
  <si>
    <t>Check</t>
  </si>
  <si>
    <t>Exit enterprise value (direct)</t>
  </si>
  <si>
    <t>Exit EBITDA x exit multiple</t>
  </si>
  <si>
    <t>Exit net debt (direct)</t>
  </si>
  <si>
    <t>Entry net debt + add-on debt - cumulative FCF</t>
  </si>
  <si>
    <t>Exit equity value (direct)</t>
  </si>
  <si>
    <t>Exit EV - exit net debt</t>
  </si>
  <si>
    <t>Bridge minus direct (must be 0)</t>
  </si>
  <si>
    <t>Reconciles the additive bridge to the direct calculation</t>
  </si>
  <si>
    <t>Result</t>
  </si>
  <si>
    <t>Total value created</t>
  </si>
  <si>
    <t>Exit equity - entry equity</t>
  </si>
  <si>
    <t>Gross MOIC</t>
  </si>
  <si>
    <t>Exit equity / entry equity</t>
  </si>
  <si>
    <t>Gross IRR</t>
  </si>
  <si>
    <t>MOIC^(1/hold) - 1 (single entry and exit cash flow)</t>
  </si>
  <si>
    <t>Ranks bridge levers by equity value contribution and tests reliance on market vs operational levers.</t>
  </si>
  <si>
    <t>Category</t>
  </si>
  <si>
    <t>Rank (1 = largest)</t>
  </si>
  <si>
    <t>Controllability</t>
  </si>
  <si>
    <t>Operational</t>
  </si>
  <si>
    <t>High - pricing, sales capacity, retention</t>
  </si>
  <si>
    <t>Medium - depends on signing and closing add-ons</t>
  </si>
  <si>
    <t>High - procurement, labor productivity, pricing</t>
  </si>
  <si>
    <t>Market</t>
  </si>
  <si>
    <t>Low - exit market conditions</t>
  </si>
  <si>
    <t>Financial</t>
  </si>
  <si>
    <t>Medium - negotiated add-on purchase multiple</t>
  </si>
  <si>
    <t>High - follows cash conversion and sweep</t>
  </si>
  <si>
    <t>High - follows cash conversion</t>
  </si>
  <si>
    <t>Lever reliance tests</t>
  </si>
  <si>
    <t>Test</t>
  </si>
  <si>
    <t>Threshold</t>
  </si>
  <si>
    <t>Status</t>
  </si>
  <si>
    <t>Operational levers ($M)</t>
  </si>
  <si>
    <t>Market levers ($M)</t>
  </si>
  <si>
    <t>Financial levers ($M)</t>
  </si>
  <si>
    <t>Operational share of value created</t>
  </si>
  <si>
    <t>Multiple-change share of value created</t>
  </si>
  <si>
    <t>Largest lever</t>
  </si>
  <si>
    <t>Largest lever share of value created</t>
  </si>
  <si>
    <t>Gates base-case returns, lever reliance and a downside case into one underwriting recommendation.</t>
  </si>
  <si>
    <t>Metric</t>
  </si>
  <si>
    <t>Note</t>
  </si>
  <si>
    <t>Bridge D4</t>
  </si>
  <si>
    <t>Exit equity value</t>
  </si>
  <si>
    <t>Bridge D12</t>
  </si>
  <si>
    <t>Bridge D17</t>
  </si>
  <si>
    <t>Bridge D18</t>
  </si>
  <si>
    <t>Bridge D19</t>
  </si>
  <si>
    <t>Lever Impact Ranking B17</t>
  </si>
  <si>
    <t>Minimum operational share</t>
  </si>
  <si>
    <t>Lever Impact Ranking B18</t>
  </si>
  <si>
    <t>Maximum multiple-change share</t>
  </si>
  <si>
    <t>Downside case (stress test)</t>
  </si>
  <si>
    <t>Downside organic exit revenue</t>
  </si>
  <si>
    <t>Organic CAGR x growth credited</t>
  </si>
  <si>
    <t>Downside exit EBITDA margin</t>
  </si>
  <si>
    <t>Entry margin + credited margin change</t>
  </si>
  <si>
    <t>Downside exit EBITDA</t>
  </si>
  <si>
    <t>Signed add-on revenue retained</t>
  </si>
  <si>
    <t>Downside exit multiple</t>
  </si>
  <si>
    <t>Underwritten exit multiple less haircut</t>
  </si>
  <si>
    <t>Downside cumulative FCF</t>
  </si>
  <si>
    <t>Same linear EBITDA path as the schedule</t>
  </si>
  <si>
    <t>Downside exit net debt</t>
  </si>
  <si>
    <t>Entry net debt + add-on debt - FCF</t>
  </si>
  <si>
    <t>Downside exit equity value</t>
  </si>
  <si>
    <t>Downside EV - downside net debt</t>
  </si>
  <si>
    <t>Downside MOIC</t>
  </si>
  <si>
    <t>Downside exit equity / entry equity</t>
  </si>
  <si>
    <t>Downside MOIC floor</t>
  </si>
  <si>
    <t>Bridge reconciliation</t>
  </si>
  <si>
    <t>Bridge E16</t>
  </si>
  <si>
    <t>RECOMMENDATION</t>
  </si>
  <si>
    <t>Order: reconciliation -&gt; floors (base and downside) -&gt; targets and lever-reliance tests.</t>
  </si>
  <si>
    <t>Reasoning</t>
  </si>
  <si>
    <t>Recommendation formula (FORMULATEXT of B27)</t>
  </si>
  <si>
    <t>Anonymized Worked Example - HoldCo B</t>
  </si>
  <si>
    <t>Regional industrial services platform (code name). Figures scaled and illustrative; every output is a live link to the model tabs.</t>
  </si>
  <si>
    <t>Deal snapshot</t>
  </si>
  <si>
    <t>Item</t>
  </si>
  <si>
    <t>Underwritten exit multiple</t>
  </si>
  <si>
    <t>Bridge output: entry equity -&gt; exit equity ($M)</t>
  </si>
  <si>
    <t>Bridge step</t>
  </si>
  <si>
    <t>Named judgment calls</t>
  </si>
  <si>
    <t>ID</t>
  </si>
  <si>
    <t>Judgment call</t>
  </si>
  <si>
    <t>Underwritten choice</t>
  </si>
  <si>
    <t>Alternative rejected</t>
  </si>
  <si>
    <t>Exit equity excluded vs alternative ($M)</t>
  </si>
  <si>
    <t>Rationale</t>
  </si>
  <si>
    <t>JC1</t>
  </si>
  <si>
    <t>Exit multiple held at entry multiple</t>
  </si>
  <si>
    <t>No multiple expansion underwritten: LMM services exits are cyclical and the 9.5x comp set includes larger, more diversified peers.</t>
  </si>
  <si>
    <t>JC2</t>
  </si>
  <si>
    <t>Margin expansion haircut</t>
  </si>
  <si>
    <t>Only procurement and pricing actions already signed are credited; the labor-productivity half of the plan is unproven.</t>
  </si>
  <si>
    <t>JC3</t>
  </si>
  <si>
    <t>Unsigned add-on pipeline excluded</t>
  </si>
  <si>
    <t>Unsigned targets are not underwritten; excluded value is shown net of purchase price at the same add-on multiple.</t>
  </si>
  <si>
    <t>JC4</t>
  </si>
  <si>
    <t>Cash conversion haircut</t>
  </si>
  <si>
    <t>Fleet capex catch-up in years 1-2 and higher cash taxes after the recap reduce free cash flow.</t>
  </si>
  <si>
    <t>Equity value excluded by judgment calls (approximate; effects interact, not strictly additive)</t>
  </si>
  <si>
    <t>How to read this example</t>
  </si>
  <si>
    <t>1. Value created comes mostly from operational levers (organic growth, the signed add-on and +200 bps margin) and from deleveraging. No multiple expansion is underwritten.</t>
  </si>
  <si>
    <t>2. The judgment calls are conservative: reversing them would add the value in E26:E29. That upside is real but unproven, so it is kept out of the underwriting case.</t>
  </si>
  <si>
    <t>3. The downside case (Summary Recommendation rows 16-23) cuts the exit multiple by 1.0x, halves organic growth and removes the margin gain. It is still tested against the downside MOIC floor.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</si>
</sst>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&quot;x&quot;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5" fillId="0" borderId="0" xfId="0" applyFont="1"/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4" fontId="0" fillId="4" borderId="1" xfId="0" applyNumberFormat="1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4" fontId="0" fillId="5" borderId="1" xfId="0" applyNumberFormat="1" applyFill="1" applyBorder="1" applyAlignment="1">
      <alignment vertical="top" wrapText="1"/>
    </xf>
    <xf numFmtId="165" fontId="0" fillId="4" borderId="1" xfId="0" applyNumberFormat="1" applyFill="1" applyBorder="1" applyAlignment="1">
      <alignment vertical="top" wrapText="1"/>
    </xf>
    <xf numFmtId="165" fontId="0" fillId="5" borderId="1" xfId="0" applyNumberFormat="1" applyFill="1" applyBorder="1" applyAlignment="1">
      <alignment vertical="top" wrapText="1"/>
    </xf>
    <xf numFmtId="1" fontId="0" fillId="4" borderId="1" xfId="0" applyNumberFormat="1" applyFill="1" applyBorder="1" applyAlignment="1">
      <alignment vertical="top" wrapText="1"/>
    </xf>
    <xf numFmtId="3" fontId="0" fillId="5" borderId="1" xfId="0" applyNumberFormat="1" applyFill="1" applyBorder="1" applyAlignment="1">
      <alignment vertical="top" wrapText="1"/>
    </xf>
    <xf numFmtId="1" fontId="0" fillId="5" borderId="1" xfId="0" applyNumberFormat="1" applyFill="1" applyBorder="1" applyAlignment="1">
      <alignment vertical="top" wrapText="1"/>
    </xf>
    <xf numFmtId="1" fontId="4" fillId="5" borderId="1" xfId="0" applyNumberFormat="1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4" fontId="0" fillId="5" borderId="1" xfId="0" applyNumberForma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Equity value bridge ($M)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'Anonymized Worked Example'!$A$14:$A$22</c:f>
              <c:strCache>
                <c:ptCount val="9"/>
                <c:pt idx="0">
                  <c:v>Entry equity value</c:v>
                </c:pt>
                <c:pt idx="1">
                  <c:v>Organic revenue growth</c:v>
                </c:pt>
                <c:pt idx="2">
                  <c:v>Add-on revenue</c:v>
                </c:pt>
                <c:pt idx="3">
                  <c:v>Margin change</c:v>
                </c:pt>
                <c:pt idx="4">
                  <c:v>Multiple change</c:v>
                </c:pt>
                <c:pt idx="5">
                  <c:v>Add-on purchase price (debt-funded)</c:v>
                </c:pt>
                <c:pt idx="6">
                  <c:v>Debt paydown</c:v>
                </c:pt>
                <c:pt idx="7">
                  <c:v>Cash generation (retained)</c:v>
                </c:pt>
                <c:pt idx="8">
                  <c:v>Exit equity value (bridge)</c:v>
                </c:pt>
              </c:strCache>
            </c:strRef>
          </c:cat>
          <c:val>
            <c:numRef>
              <c:f>'Anonymized Worked Example'!$B$14:$B$22</c:f>
              <c:numCache>
                <c:formatCode>#,##0.00</c:formatCode>
                <c:ptCount val="9"/>
                <c:pt idx="0">
                  <c:v>32</c:v>
                </c:pt>
                <c:pt idx="1">
                  <c:v>24.352241587200041</c:v>
                </c:pt>
                <c:pt idx="2">
                  <c:v>14.399999999999999</c:v>
                </c:pt>
                <c:pt idx="3">
                  <c:v>14.766965544960019</c:v>
                </c:pt>
                <c:pt idx="4">
                  <c:v>0</c:v>
                </c:pt>
                <c:pt idx="5">
                  <c:v>-7.92</c:v>
                </c:pt>
                <c:pt idx="6">
                  <c:v>26.027881069824012</c:v>
                </c:pt>
                <c:pt idx="7">
                  <c:v>6.5069702674560013</c:v>
                </c:pt>
                <c:pt idx="8">
                  <c:v>110.13405846944006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1-4786-965B-64E4CA320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/>
  </sheetViews>
  <sheetFormatPr defaultRowHeight="14.5" x14ac:dyDescent="0.35"/>
  <cols>
    <col min="1" max="1" width="6" customWidth="1"/>
    <col min="2" max="2" width="60" customWidth="1"/>
    <col min="3" max="3" width="34" customWidth="1"/>
    <col min="4" max="4" width="44" customWidth="1"/>
    <col min="5" max="5" width="40" customWidth="1"/>
  </cols>
  <sheetData>
    <row r="1" spans="1:5" ht="18.5" x14ac:dyDescent="0.45">
      <c r="A1" s="1" t="s">
        <v>0</v>
      </c>
      <c r="B1" s="2"/>
      <c r="C1" s="2"/>
      <c r="D1" s="2"/>
      <c r="E1" s="2"/>
    </row>
    <row r="2" spans="1:5" x14ac:dyDescent="0.35">
      <c r="A2" s="3" t="s">
        <v>1</v>
      </c>
    </row>
    <row r="4" spans="1:5" ht="15.5" x14ac:dyDescent="0.35">
      <c r="A4" s="4" t="s">
        <v>2</v>
      </c>
    </row>
    <row r="5" spans="1:5" x14ac:dyDescent="0.35">
      <c r="A5" t="s">
        <v>3</v>
      </c>
    </row>
    <row r="7" spans="1:5" ht="15.5" x14ac:dyDescent="0.35">
      <c r="A7" s="4" t="s">
        <v>4</v>
      </c>
    </row>
    <row r="8" spans="1:5" x14ac:dyDescent="0.35">
      <c r="A8" t="s">
        <v>5</v>
      </c>
    </row>
    <row r="9" spans="1:5" x14ac:dyDescent="0.35">
      <c r="A9" t="s">
        <v>6</v>
      </c>
    </row>
    <row r="10" spans="1:5" x14ac:dyDescent="0.35">
      <c r="A10" t="s">
        <v>7</v>
      </c>
    </row>
    <row r="11" spans="1:5" x14ac:dyDescent="0.35">
      <c r="A11" t="s">
        <v>8</v>
      </c>
    </row>
    <row r="13" spans="1:5" ht="15.5" x14ac:dyDescent="0.35">
      <c r="A13" s="4" t="s">
        <v>9</v>
      </c>
    </row>
    <row r="14" spans="1:5" x14ac:dyDescent="0.35">
      <c r="A14" s="5" t="s">
        <v>10</v>
      </c>
      <c r="B14" s="5" t="s">
        <v>11</v>
      </c>
      <c r="C14" s="5" t="s">
        <v>12</v>
      </c>
    </row>
    <row r="15" spans="1:5" x14ac:dyDescent="0.35">
      <c r="A15" s="6">
        <v>1</v>
      </c>
      <c r="B15" s="7" t="s">
        <v>13</v>
      </c>
      <c r="C15" s="6" t="s">
        <v>14</v>
      </c>
    </row>
    <row r="16" spans="1:5" ht="29" x14ac:dyDescent="0.35">
      <c r="A16" s="6">
        <v>2</v>
      </c>
      <c r="B16" s="7" t="s">
        <v>15</v>
      </c>
      <c r="C16" s="6" t="s">
        <v>16</v>
      </c>
    </row>
    <row r="17" spans="1:5" ht="29" x14ac:dyDescent="0.35">
      <c r="A17" s="6">
        <v>3</v>
      </c>
      <c r="B17" s="7" t="s">
        <v>17</v>
      </c>
      <c r="C17" s="6" t="s">
        <v>18</v>
      </c>
    </row>
    <row r="18" spans="1:5" ht="29" x14ac:dyDescent="0.35">
      <c r="A18" s="6">
        <v>4</v>
      </c>
      <c r="B18" s="7" t="s">
        <v>19</v>
      </c>
      <c r="C18" s="6" t="s">
        <v>20</v>
      </c>
    </row>
    <row r="19" spans="1:5" ht="29" x14ac:dyDescent="0.35">
      <c r="A19" s="6">
        <v>5</v>
      </c>
      <c r="B19" s="7" t="s">
        <v>21</v>
      </c>
      <c r="C19" s="6" t="s">
        <v>22</v>
      </c>
    </row>
    <row r="20" spans="1:5" ht="29" x14ac:dyDescent="0.35">
      <c r="A20" s="6">
        <v>6</v>
      </c>
      <c r="B20" s="7" t="s">
        <v>23</v>
      </c>
      <c r="C20" s="6" t="s">
        <v>24</v>
      </c>
    </row>
    <row r="21" spans="1:5" ht="29" x14ac:dyDescent="0.35">
      <c r="A21" s="6">
        <v>7</v>
      </c>
      <c r="B21" s="7" t="s">
        <v>25</v>
      </c>
      <c r="C21" s="6" t="s">
        <v>26</v>
      </c>
    </row>
    <row r="23" spans="1:5" x14ac:dyDescent="0.35">
      <c r="A23" t="s">
        <v>27</v>
      </c>
    </row>
    <row r="25" spans="1:5" ht="15.5" x14ac:dyDescent="0.35">
      <c r="A25" s="4" t="s">
        <v>28</v>
      </c>
    </row>
    <row r="26" spans="1:5" x14ac:dyDescent="0.35">
      <c r="A26" s="5" t="s">
        <v>10</v>
      </c>
      <c r="B26" s="5" t="s">
        <v>29</v>
      </c>
      <c r="C26" s="5" t="s">
        <v>11</v>
      </c>
      <c r="D26" s="5" t="s">
        <v>30</v>
      </c>
      <c r="E26" s="5" t="s">
        <v>31</v>
      </c>
    </row>
    <row r="27" spans="1:5" x14ac:dyDescent="0.35">
      <c r="A27" s="6">
        <v>1</v>
      </c>
      <c r="B27" s="7" t="s">
        <v>32</v>
      </c>
      <c r="C27" s="6" t="s">
        <v>19</v>
      </c>
      <c r="D27" s="6" t="s">
        <v>33</v>
      </c>
      <c r="E27" s="8" t="str">
        <f>'Equity Value Creation Bridge'!E16</f>
        <v>OK - bridge reconciles</v>
      </c>
    </row>
    <row r="28" spans="1:5" ht="29" x14ac:dyDescent="0.35">
      <c r="A28" s="6">
        <v>2</v>
      </c>
      <c r="B28" s="7" t="s">
        <v>34</v>
      </c>
      <c r="C28" s="6" t="s">
        <v>19</v>
      </c>
      <c r="D28" s="6" t="s">
        <v>35</v>
      </c>
      <c r="E28" s="8" t="str">
        <f>COUNTA('Equity Value Creation Bridge'!B5:B11)&amp;" levers"</f>
        <v>7 levers</v>
      </c>
    </row>
    <row r="29" spans="1:5" x14ac:dyDescent="0.35">
      <c r="A29" s="6">
        <v>3</v>
      </c>
      <c r="B29" s="7" t="s">
        <v>36</v>
      </c>
      <c r="C29" s="6" t="s">
        <v>19</v>
      </c>
      <c r="D29" s="6" t="s">
        <v>37</v>
      </c>
      <c r="E29" s="8" t="str">
        <f>TEXT('Equity Value Creation Bridge'!D16,"0.000000")</f>
        <v>0.000000</v>
      </c>
    </row>
    <row r="30" spans="1:5" x14ac:dyDescent="0.35">
      <c r="A30" s="6">
        <v>4</v>
      </c>
      <c r="B30" s="7" t="s">
        <v>38</v>
      </c>
      <c r="C30" s="6" t="s">
        <v>17</v>
      </c>
      <c r="D30" s="6" t="s">
        <v>39</v>
      </c>
      <c r="E30" s="8" t="str">
        <f>'Value Driver Inputs'!B30</f>
        <v>OK</v>
      </c>
    </row>
    <row r="31" spans="1:5" x14ac:dyDescent="0.35">
      <c r="A31" s="6">
        <v>5</v>
      </c>
      <c r="B31" s="7" t="s">
        <v>40</v>
      </c>
      <c r="C31" s="6" t="s">
        <v>21</v>
      </c>
      <c r="D31" s="6" t="s">
        <v>41</v>
      </c>
      <c r="E31" s="8" t="str">
        <f>'Lever Impact Ranking'!D17&amp;" | "&amp;'Lever Impact Ranking'!D18</f>
        <v>PASS - at or above minimum | PASS - at or below maximum</v>
      </c>
    </row>
    <row r="32" spans="1:5" x14ac:dyDescent="0.35">
      <c r="A32" s="6">
        <v>6</v>
      </c>
      <c r="B32" s="7" t="s">
        <v>42</v>
      </c>
      <c r="C32" s="6" t="s">
        <v>23</v>
      </c>
      <c r="D32" s="6" t="s">
        <v>43</v>
      </c>
      <c r="E32" s="8" t="str">
        <f>'Summary Recommendation'!B27</f>
        <v>UNDERWRITE - VALUE CREATION PLAN SUPPORTS RETURNS</v>
      </c>
    </row>
    <row r="33" spans="1:5" x14ac:dyDescent="0.35">
      <c r="A33" s="6">
        <v>7</v>
      </c>
      <c r="B33" s="7" t="s">
        <v>44</v>
      </c>
      <c r="C33" s="6" t="s">
        <v>25</v>
      </c>
      <c r="D33" s="6" t="s">
        <v>45</v>
      </c>
      <c r="E33" s="8" t="str">
        <f>"Exit equity $"&amp;TEXT('Anonymized Worked Example'!B22,"0.00")&amp;"M"</f>
        <v>Exit equity $110.13M</v>
      </c>
    </row>
    <row r="34" spans="1:5" x14ac:dyDescent="0.35">
      <c r="A34" s="6">
        <v>8</v>
      </c>
      <c r="B34" s="7" t="s">
        <v>46</v>
      </c>
      <c r="C34" s="6" t="s">
        <v>25</v>
      </c>
      <c r="D34" s="6" t="s">
        <v>47</v>
      </c>
      <c r="E34" s="8" t="str">
        <f>COUNTA('Anonymized Worked Example'!A26:A29)&amp;" judgment calls"</f>
        <v>4 judgment calls</v>
      </c>
    </row>
    <row r="35" spans="1:5" x14ac:dyDescent="0.35">
      <c r="A35" s="6">
        <v>9</v>
      </c>
      <c r="B35" s="7" t="s">
        <v>48</v>
      </c>
      <c r="C35" s="6" t="s">
        <v>49</v>
      </c>
      <c r="D35" s="6" t="s">
        <v>50</v>
      </c>
      <c r="E35" s="6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0" customWidth="1"/>
    <col min="2" max="2" width="24" customWidth="1"/>
    <col min="3" max="3" width="7" customWidth="1"/>
    <col min="4" max="4" width="58" customWidth="1"/>
  </cols>
  <sheetData>
    <row r="1" spans="1:4" ht="18.5" x14ac:dyDescent="0.45">
      <c r="A1" s="1" t="s">
        <v>15</v>
      </c>
      <c r="B1" s="2"/>
      <c r="C1" s="2"/>
      <c r="D1" s="2"/>
    </row>
    <row r="2" spans="1:4" x14ac:dyDescent="0.35">
      <c r="A2" s="3" t="s">
        <v>52</v>
      </c>
    </row>
    <row r="3" spans="1:4" x14ac:dyDescent="0.35">
      <c r="A3" s="5" t="s">
        <v>53</v>
      </c>
      <c r="B3" s="5" t="s">
        <v>54</v>
      </c>
      <c r="C3" s="5" t="s">
        <v>55</v>
      </c>
      <c r="D3" s="5" t="s">
        <v>56</v>
      </c>
    </row>
    <row r="4" spans="1:4" x14ac:dyDescent="0.35">
      <c r="A4" s="7" t="s">
        <v>57</v>
      </c>
      <c r="B4" s="6" t="s">
        <v>58</v>
      </c>
      <c r="C4" s="6" t="s">
        <v>59</v>
      </c>
      <c r="D4" s="6" t="s">
        <v>60</v>
      </c>
    </row>
    <row r="5" spans="1:4" x14ac:dyDescent="0.35">
      <c r="A5" s="7" t="s">
        <v>61</v>
      </c>
      <c r="B5" s="9">
        <v>60</v>
      </c>
      <c r="C5" s="6" t="s">
        <v>62</v>
      </c>
      <c r="D5" s="6" t="s">
        <v>63</v>
      </c>
    </row>
    <row r="6" spans="1:4" x14ac:dyDescent="0.35">
      <c r="A6" s="7" t="s">
        <v>64</v>
      </c>
      <c r="B6" s="10">
        <v>0.15</v>
      </c>
      <c r="C6" s="6" t="s">
        <v>65</v>
      </c>
      <c r="D6" s="6" t="s">
        <v>66</v>
      </c>
    </row>
    <row r="7" spans="1:4" x14ac:dyDescent="0.35">
      <c r="A7" s="7" t="s">
        <v>67</v>
      </c>
      <c r="B7" s="11">
        <f>B5*B6</f>
        <v>9</v>
      </c>
      <c r="C7" s="6" t="s">
        <v>62</v>
      </c>
      <c r="D7" s="6" t="s">
        <v>68</v>
      </c>
    </row>
    <row r="8" spans="1:4" x14ac:dyDescent="0.35">
      <c r="A8" s="7" t="s">
        <v>69</v>
      </c>
      <c r="B8" s="12">
        <v>8</v>
      </c>
      <c r="C8" s="6" t="s">
        <v>70</v>
      </c>
      <c r="D8" s="6" t="s">
        <v>71</v>
      </c>
    </row>
    <row r="9" spans="1:4" x14ac:dyDescent="0.35">
      <c r="A9" s="7" t="s">
        <v>72</v>
      </c>
      <c r="B9" s="11">
        <f>B7*B8</f>
        <v>72</v>
      </c>
      <c r="C9" s="6" t="s">
        <v>62</v>
      </c>
      <c r="D9" s="6" t="s">
        <v>73</v>
      </c>
    </row>
    <row r="10" spans="1:4" x14ac:dyDescent="0.35">
      <c r="A10" s="7" t="s">
        <v>74</v>
      </c>
      <c r="B10" s="9">
        <v>40</v>
      </c>
      <c r="C10" s="6" t="s">
        <v>62</v>
      </c>
      <c r="D10" s="6" t="s">
        <v>75</v>
      </c>
    </row>
    <row r="11" spans="1:4" x14ac:dyDescent="0.35">
      <c r="A11" s="7" t="s">
        <v>76</v>
      </c>
      <c r="B11" s="13">
        <f>B10/B7</f>
        <v>4.4444444444444446</v>
      </c>
      <c r="C11" s="6" t="s">
        <v>70</v>
      </c>
      <c r="D11" s="6" t="s">
        <v>77</v>
      </c>
    </row>
    <row r="12" spans="1:4" x14ac:dyDescent="0.35">
      <c r="A12" s="7" t="s">
        <v>78</v>
      </c>
      <c r="B12" s="11">
        <f>B9-B10</f>
        <v>32</v>
      </c>
      <c r="C12" s="6" t="s">
        <v>62</v>
      </c>
      <c r="D12" s="6" t="s">
        <v>79</v>
      </c>
    </row>
    <row r="13" spans="1:4" x14ac:dyDescent="0.35">
      <c r="A13" s="7" t="s">
        <v>80</v>
      </c>
      <c r="B13" s="14">
        <v>5</v>
      </c>
      <c r="C13" s="6" t="s">
        <v>81</v>
      </c>
      <c r="D13" s="6" t="s">
        <v>82</v>
      </c>
    </row>
    <row r="14" spans="1:4" x14ac:dyDescent="0.35">
      <c r="A14" s="7" t="s">
        <v>83</v>
      </c>
      <c r="B14" s="12">
        <v>8</v>
      </c>
      <c r="C14" s="6" t="s">
        <v>70</v>
      </c>
      <c r="D14" s="6" t="s">
        <v>84</v>
      </c>
    </row>
    <row r="15" spans="1:4" x14ac:dyDescent="0.35">
      <c r="A15" s="7" t="s">
        <v>85</v>
      </c>
      <c r="B15" s="12">
        <v>9.5</v>
      </c>
      <c r="C15" s="6" t="s">
        <v>70</v>
      </c>
      <c r="D15" s="6" t="s">
        <v>86</v>
      </c>
    </row>
    <row r="16" spans="1:4" x14ac:dyDescent="0.35">
      <c r="A16" s="7" t="s">
        <v>87</v>
      </c>
      <c r="B16" s="12">
        <v>2.5</v>
      </c>
      <c r="C16" s="6" t="s">
        <v>70</v>
      </c>
      <c r="D16" s="6" t="s">
        <v>88</v>
      </c>
    </row>
    <row r="17" spans="1:4" x14ac:dyDescent="0.35">
      <c r="A17" s="7" t="s">
        <v>89</v>
      </c>
      <c r="B17" s="10">
        <v>0.2</v>
      </c>
      <c r="C17" s="6" t="s">
        <v>65</v>
      </c>
      <c r="D17" s="6" t="s">
        <v>88</v>
      </c>
    </row>
    <row r="18" spans="1:4" x14ac:dyDescent="0.35">
      <c r="A18" s="7" t="s">
        <v>90</v>
      </c>
      <c r="B18" s="12">
        <v>1.75</v>
      </c>
      <c r="C18" s="6" t="s">
        <v>70</v>
      </c>
      <c r="D18" s="6" t="s">
        <v>91</v>
      </c>
    </row>
    <row r="19" spans="1:4" x14ac:dyDescent="0.35">
      <c r="A19" s="7" t="s">
        <v>92</v>
      </c>
      <c r="B19" s="12">
        <v>1.25</v>
      </c>
      <c r="C19" s="6" t="s">
        <v>70</v>
      </c>
      <c r="D19" s="6" t="s">
        <v>93</v>
      </c>
    </row>
    <row r="20" spans="1:4" x14ac:dyDescent="0.35">
      <c r="A20" s="7" t="s">
        <v>94</v>
      </c>
      <c r="B20" s="10">
        <v>0.25</v>
      </c>
      <c r="C20" s="6" t="s">
        <v>65</v>
      </c>
      <c r="D20" s="6" t="s">
        <v>95</v>
      </c>
    </row>
    <row r="21" spans="1:4" x14ac:dyDescent="0.35">
      <c r="A21" s="7" t="s">
        <v>96</v>
      </c>
      <c r="B21" s="10">
        <v>0.5</v>
      </c>
      <c r="C21" s="6" t="s">
        <v>65</v>
      </c>
      <c r="D21" s="6" t="s">
        <v>97</v>
      </c>
    </row>
    <row r="22" spans="1:4" x14ac:dyDescent="0.35">
      <c r="A22" s="7" t="s">
        <v>98</v>
      </c>
      <c r="B22" s="12">
        <v>1</v>
      </c>
      <c r="C22" s="6" t="s">
        <v>70</v>
      </c>
      <c r="D22" s="6" t="s">
        <v>99</v>
      </c>
    </row>
    <row r="23" spans="1:4" x14ac:dyDescent="0.35">
      <c r="A23" s="7" t="s">
        <v>100</v>
      </c>
      <c r="B23" s="10">
        <v>0.5</v>
      </c>
      <c r="C23" s="6" t="s">
        <v>65</v>
      </c>
      <c r="D23" s="6" t="s">
        <v>101</v>
      </c>
    </row>
    <row r="24" spans="1:4" x14ac:dyDescent="0.35">
      <c r="A24" s="7" t="s">
        <v>102</v>
      </c>
      <c r="B24" s="10">
        <v>0</v>
      </c>
      <c r="C24" s="6" t="s">
        <v>65</v>
      </c>
      <c r="D24" s="6" t="s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0" customWidth="1"/>
    <col min="2" max="2" width="16" customWidth="1"/>
    <col min="3" max="3" width="14" customWidth="1"/>
    <col min="4" max="4" width="44" customWidth="1"/>
    <col min="5" max="6" width="16" customWidth="1"/>
  </cols>
  <sheetData>
    <row r="1" spans="1:6" ht="18.5" x14ac:dyDescent="0.45">
      <c r="A1" s="1" t="s">
        <v>17</v>
      </c>
      <c r="B1" s="2"/>
      <c r="C1" s="2"/>
      <c r="D1" s="2"/>
      <c r="E1" s="2"/>
      <c r="F1" s="2"/>
    </row>
    <row r="2" spans="1:6" x14ac:dyDescent="0.35">
      <c r="A2" s="3" t="s">
        <v>104</v>
      </c>
    </row>
    <row r="3" spans="1:6" x14ac:dyDescent="0.35">
      <c r="A3" s="5" t="s">
        <v>105</v>
      </c>
      <c r="B3" s="5" t="s">
        <v>54</v>
      </c>
      <c r="C3" s="5" t="s">
        <v>55</v>
      </c>
      <c r="D3" s="5" t="s">
        <v>56</v>
      </c>
    </row>
    <row r="4" spans="1:6" x14ac:dyDescent="0.35">
      <c r="A4" s="7" t="s">
        <v>106</v>
      </c>
      <c r="B4" s="10">
        <v>0.06</v>
      </c>
      <c r="C4" s="6" t="s">
        <v>65</v>
      </c>
      <c r="D4" s="6" t="s">
        <v>107</v>
      </c>
    </row>
    <row r="5" spans="1:6" x14ac:dyDescent="0.35">
      <c r="A5" s="7" t="s">
        <v>108</v>
      </c>
      <c r="B5" s="11">
        <f>'Entry and Exit Assumptions'!B5*(1+B4)^'Entry and Exit Assumptions'!B13</f>
        <v>80.293534656000034</v>
      </c>
      <c r="C5" s="6" t="s">
        <v>62</v>
      </c>
      <c r="D5" s="6" t="s">
        <v>109</v>
      </c>
    </row>
    <row r="6" spans="1:6" x14ac:dyDescent="0.35">
      <c r="A6" s="7" t="s">
        <v>110</v>
      </c>
      <c r="B6" s="9">
        <v>12</v>
      </c>
      <c r="C6" s="6" t="s">
        <v>62</v>
      </c>
      <c r="D6" s="6" t="s">
        <v>111</v>
      </c>
    </row>
    <row r="7" spans="1:6" x14ac:dyDescent="0.35">
      <c r="A7" s="7" t="s">
        <v>112</v>
      </c>
      <c r="B7" s="10">
        <v>0.12</v>
      </c>
      <c r="C7" s="6" t="s">
        <v>65</v>
      </c>
      <c r="D7" s="6" t="s">
        <v>113</v>
      </c>
    </row>
    <row r="8" spans="1:6" x14ac:dyDescent="0.35">
      <c r="A8" s="7" t="s">
        <v>114</v>
      </c>
      <c r="B8" s="12">
        <v>5.5</v>
      </c>
      <c r="C8" s="6" t="s">
        <v>70</v>
      </c>
      <c r="D8" s="6" t="s">
        <v>115</v>
      </c>
    </row>
    <row r="9" spans="1:6" x14ac:dyDescent="0.35">
      <c r="A9" s="7" t="s">
        <v>116</v>
      </c>
      <c r="B9" s="11">
        <f>B6*B7*B8</f>
        <v>7.92</v>
      </c>
      <c r="C9" s="6" t="s">
        <v>62</v>
      </c>
      <c r="D9" s="6" t="s">
        <v>117</v>
      </c>
    </row>
    <row r="10" spans="1:6" x14ac:dyDescent="0.35">
      <c r="A10" s="7" t="s">
        <v>118</v>
      </c>
      <c r="B10" s="11">
        <f>B5+B6</f>
        <v>92.293534656000034</v>
      </c>
      <c r="C10" s="6" t="s">
        <v>62</v>
      </c>
      <c r="D10" s="6" t="s">
        <v>119</v>
      </c>
    </row>
    <row r="11" spans="1:6" x14ac:dyDescent="0.35">
      <c r="A11" s="7" t="s">
        <v>120</v>
      </c>
      <c r="B11" s="10">
        <v>0.17</v>
      </c>
      <c r="C11" s="6" t="s">
        <v>65</v>
      </c>
      <c r="D11" s="6" t="s">
        <v>121</v>
      </c>
    </row>
    <row r="12" spans="1:6" x14ac:dyDescent="0.35">
      <c r="A12" s="7" t="s">
        <v>122</v>
      </c>
      <c r="B12" s="11">
        <f>B10*B11</f>
        <v>15.689900891520008</v>
      </c>
      <c r="C12" s="6" t="s">
        <v>62</v>
      </c>
      <c r="D12" s="6" t="s">
        <v>123</v>
      </c>
    </row>
    <row r="13" spans="1:6" x14ac:dyDescent="0.35">
      <c r="A13" s="7" t="s">
        <v>124</v>
      </c>
      <c r="B13" s="15">
        <f>(B11-'Entry and Exit Assumptions'!B6)*10000</f>
        <v>200.00000000000017</v>
      </c>
      <c r="C13" s="6" t="s">
        <v>125</v>
      </c>
      <c r="D13" s="6" t="s">
        <v>126</v>
      </c>
    </row>
    <row r="14" spans="1:6" x14ac:dyDescent="0.35">
      <c r="A14" s="7" t="s">
        <v>127</v>
      </c>
      <c r="B14" s="10">
        <v>0.5</v>
      </c>
      <c r="C14" s="6" t="s">
        <v>65</v>
      </c>
      <c r="D14" s="6" t="s">
        <v>128</v>
      </c>
    </row>
    <row r="15" spans="1:6" x14ac:dyDescent="0.35">
      <c r="A15" s="7" t="s">
        <v>129</v>
      </c>
      <c r="B15" s="10">
        <v>0.8</v>
      </c>
      <c r="C15" s="6" t="s">
        <v>65</v>
      </c>
      <c r="D15" s="6" t="s">
        <v>130</v>
      </c>
    </row>
    <row r="16" spans="1:6" x14ac:dyDescent="0.35">
      <c r="A16" s="7" t="s">
        <v>131</v>
      </c>
      <c r="B16" s="10">
        <v>0.19</v>
      </c>
      <c r="C16" s="6" t="s">
        <v>65</v>
      </c>
      <c r="D16" s="6" t="s">
        <v>132</v>
      </c>
    </row>
    <row r="17" spans="1:6" x14ac:dyDescent="0.35">
      <c r="A17" s="7" t="s">
        <v>133</v>
      </c>
      <c r="B17" s="10">
        <v>0.65</v>
      </c>
      <c r="C17" s="6" t="s">
        <v>65</v>
      </c>
      <c r="D17" s="6" t="s">
        <v>134</v>
      </c>
    </row>
    <row r="18" spans="1:6" x14ac:dyDescent="0.35">
      <c r="A18" s="7" t="s">
        <v>135</v>
      </c>
      <c r="B18" s="9">
        <v>20</v>
      </c>
      <c r="C18" s="6" t="s">
        <v>62</v>
      </c>
      <c r="D18" s="6" t="s">
        <v>136</v>
      </c>
    </row>
    <row r="20" spans="1:6" ht="15.5" x14ac:dyDescent="0.35">
      <c r="A20" s="4" t="s">
        <v>137</v>
      </c>
    </row>
    <row r="21" spans="1:6" ht="29" x14ac:dyDescent="0.35">
      <c r="A21" s="5" t="s">
        <v>138</v>
      </c>
      <c r="B21" s="5" t="s">
        <v>139</v>
      </c>
      <c r="C21" s="5" t="s">
        <v>140</v>
      </c>
      <c r="D21" s="5" t="s">
        <v>141</v>
      </c>
      <c r="E21" s="5" t="s">
        <v>142</v>
      </c>
      <c r="F21" s="5" t="s">
        <v>143</v>
      </c>
    </row>
    <row r="22" spans="1:6" x14ac:dyDescent="0.35">
      <c r="A22" s="6">
        <v>1</v>
      </c>
      <c r="B22" s="16">
        <f>IF(A22&lt;='Entry and Exit Assumptions'!$B$13,1,0)</f>
        <v>1</v>
      </c>
      <c r="C22" s="11">
        <f>B22*('Entry and Exit Assumptions'!$B$7+($B$12-'Entry and Exit Assumptions'!$B$7)*A22/'Entry and Exit Assumptions'!$B$13)</f>
        <v>10.337980178304001</v>
      </c>
      <c r="D22" s="11">
        <f t="shared" ref="D22:D28" si="0">C22*$B$14</f>
        <v>5.1689900891520004</v>
      </c>
      <c r="E22" s="11">
        <f t="shared" ref="E22:E28" si="1">D22*$B$15</f>
        <v>4.1351920713216002</v>
      </c>
      <c r="F22" s="11">
        <f t="shared" ref="F22:F28" si="2">D22-E22</f>
        <v>1.0337980178304003</v>
      </c>
    </row>
    <row r="23" spans="1:6" x14ac:dyDescent="0.35">
      <c r="A23" s="6">
        <v>2</v>
      </c>
      <c r="B23" s="16">
        <f>IF(A23&lt;='Entry and Exit Assumptions'!$B$13,1,0)</f>
        <v>1</v>
      </c>
      <c r="C23" s="11">
        <f>B23*('Entry and Exit Assumptions'!$B$7+($B$12-'Entry and Exit Assumptions'!$B$7)*A23/'Entry and Exit Assumptions'!$B$13)</f>
        <v>11.675960356608003</v>
      </c>
      <c r="D23" s="11">
        <f t="shared" si="0"/>
        <v>5.8379801783040017</v>
      </c>
      <c r="E23" s="11">
        <f t="shared" si="1"/>
        <v>4.6703841426432016</v>
      </c>
      <c r="F23" s="11">
        <f t="shared" si="2"/>
        <v>1.1675960356608002</v>
      </c>
    </row>
    <row r="24" spans="1:6" x14ac:dyDescent="0.35">
      <c r="A24" s="6">
        <v>3</v>
      </c>
      <c r="B24" s="16">
        <f>IF(A24&lt;='Entry and Exit Assumptions'!$B$13,1,0)</f>
        <v>1</v>
      </c>
      <c r="C24" s="11">
        <f>B24*('Entry and Exit Assumptions'!$B$7+($B$12-'Entry and Exit Assumptions'!$B$7)*A24/'Entry and Exit Assumptions'!$B$13)</f>
        <v>13.013940534912004</v>
      </c>
      <c r="D24" s="11">
        <f t="shared" si="0"/>
        <v>6.5069702674560022</v>
      </c>
      <c r="E24" s="11">
        <f t="shared" si="1"/>
        <v>5.2055762139648021</v>
      </c>
      <c r="F24" s="11">
        <f t="shared" si="2"/>
        <v>1.3013940534912001</v>
      </c>
    </row>
    <row r="25" spans="1:6" x14ac:dyDescent="0.35">
      <c r="A25" s="6">
        <v>4</v>
      </c>
      <c r="B25" s="16">
        <f>IF(A25&lt;='Entry and Exit Assumptions'!$B$13,1,0)</f>
        <v>1</v>
      </c>
      <c r="C25" s="11">
        <f>B25*('Entry and Exit Assumptions'!$B$7+($B$12-'Entry and Exit Assumptions'!$B$7)*A25/'Entry and Exit Assumptions'!$B$13)</f>
        <v>14.351920713216007</v>
      </c>
      <c r="D25" s="11">
        <f t="shared" si="0"/>
        <v>7.1759603566080035</v>
      </c>
      <c r="E25" s="11">
        <f t="shared" si="1"/>
        <v>5.7407682852864035</v>
      </c>
      <c r="F25" s="11">
        <f t="shared" si="2"/>
        <v>1.4351920713216</v>
      </c>
    </row>
    <row r="26" spans="1:6" x14ac:dyDescent="0.35">
      <c r="A26" s="6">
        <v>5</v>
      </c>
      <c r="B26" s="16">
        <f>IF(A26&lt;='Entry and Exit Assumptions'!$B$13,1,0)</f>
        <v>1</v>
      </c>
      <c r="C26" s="11">
        <f>B26*('Entry and Exit Assumptions'!$B$7+($B$12-'Entry and Exit Assumptions'!$B$7)*A26/'Entry and Exit Assumptions'!$B$13)</f>
        <v>15.689900891520008</v>
      </c>
      <c r="D26" s="11">
        <f t="shared" si="0"/>
        <v>7.8449504457600039</v>
      </c>
      <c r="E26" s="11">
        <f t="shared" si="1"/>
        <v>6.2759603566080031</v>
      </c>
      <c r="F26" s="11">
        <f t="shared" si="2"/>
        <v>1.5689900891520008</v>
      </c>
    </row>
    <row r="27" spans="1:6" x14ac:dyDescent="0.35">
      <c r="A27" s="6">
        <v>6</v>
      </c>
      <c r="B27" s="16">
        <f>IF(A27&lt;='Entry and Exit Assumptions'!$B$13,1,0)</f>
        <v>0</v>
      </c>
      <c r="C27" s="11">
        <f>B27*('Entry and Exit Assumptions'!$B$7+($B$12-'Entry and Exit Assumptions'!$B$7)*A27/'Entry and Exit Assumptions'!$B$13)</f>
        <v>0</v>
      </c>
      <c r="D27" s="11">
        <f t="shared" si="0"/>
        <v>0</v>
      </c>
      <c r="E27" s="11">
        <f t="shared" si="1"/>
        <v>0</v>
      </c>
      <c r="F27" s="11">
        <f t="shared" si="2"/>
        <v>0</v>
      </c>
    </row>
    <row r="28" spans="1:6" x14ac:dyDescent="0.35">
      <c r="A28" s="6">
        <v>7</v>
      </c>
      <c r="B28" s="16">
        <f>IF(A28&lt;='Entry and Exit Assumptions'!$B$13,1,0)</f>
        <v>0</v>
      </c>
      <c r="C28" s="11">
        <f>B28*('Entry and Exit Assumptions'!$B$7+($B$12-'Entry and Exit Assumptions'!$B$7)*A28/'Entry and Exit Assumptions'!$B$13)</f>
        <v>0</v>
      </c>
      <c r="D28" s="11">
        <f t="shared" si="0"/>
        <v>0</v>
      </c>
      <c r="E28" s="11">
        <f t="shared" si="1"/>
        <v>0</v>
      </c>
      <c r="F28" s="11">
        <f t="shared" si="2"/>
        <v>0</v>
      </c>
    </row>
    <row r="29" spans="1:6" x14ac:dyDescent="0.35">
      <c r="A29" s="7" t="s">
        <v>144</v>
      </c>
      <c r="B29" s="17">
        <f>SUM(B22:B28)</f>
        <v>5</v>
      </c>
      <c r="C29" s="18">
        <f>SUM(C22:C28)</f>
        <v>65.06970267456002</v>
      </c>
      <c r="D29" s="18">
        <f>SUM(D22:D28)</f>
        <v>32.53485133728001</v>
      </c>
      <c r="E29" s="18">
        <f>SUM(E22:E28)</f>
        <v>26.027881069824012</v>
      </c>
      <c r="F29" s="18">
        <f>SUM(F22:F28)</f>
        <v>6.5069702674560013</v>
      </c>
    </row>
    <row r="30" spans="1:6" x14ac:dyDescent="0.35">
      <c r="A30" s="7" t="s">
        <v>145</v>
      </c>
      <c r="B30" s="8" t="str">
        <f>IF(B29='Entry and Exit Assumptions'!B13,"OK","ERROR - hold must be 1-7 years")</f>
        <v>OK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9" customWidth="1"/>
    <col min="2" max="2" width="36" customWidth="1"/>
    <col min="3" max="3" width="56" customWidth="1"/>
    <col min="4" max="4" width="14" customWidth="1"/>
    <col min="5" max="5" width="22" customWidth="1"/>
    <col min="6" max="6" width="72" customWidth="1"/>
  </cols>
  <sheetData>
    <row r="1" spans="1:6" ht="18.5" x14ac:dyDescent="0.45">
      <c r="A1" s="1" t="s">
        <v>19</v>
      </c>
      <c r="B1" s="2"/>
      <c r="C1" s="2"/>
      <c r="D1" s="2"/>
      <c r="E1" s="2"/>
      <c r="F1" s="2"/>
    </row>
    <row r="2" spans="1:6" x14ac:dyDescent="0.35">
      <c r="A2" s="3" t="s">
        <v>146</v>
      </c>
    </row>
    <row r="3" spans="1:6" x14ac:dyDescent="0.35">
      <c r="A3" s="5" t="s">
        <v>147</v>
      </c>
      <c r="B3" s="5" t="s">
        <v>148</v>
      </c>
      <c r="C3" s="5" t="s">
        <v>149</v>
      </c>
      <c r="D3" s="5" t="s">
        <v>150</v>
      </c>
      <c r="E3" s="5" t="s">
        <v>151</v>
      </c>
      <c r="F3" s="5" t="s">
        <v>152</v>
      </c>
    </row>
    <row r="4" spans="1:6" x14ac:dyDescent="0.35">
      <c r="A4" s="7" t="s">
        <v>153</v>
      </c>
      <c r="B4" s="7" t="s">
        <v>78</v>
      </c>
      <c r="C4" s="6" t="s">
        <v>154</v>
      </c>
      <c r="D4" s="18">
        <f>'Entry and Exit Assumptions'!B12</f>
        <v>32</v>
      </c>
      <c r="E4" s="19"/>
      <c r="F4" s="8" t="str">
        <f t="shared" ref="F4:F19" ca="1" si="0">_xlfn.FORMULATEXT(D4)</f>
        <v>='Entry and Exit Assumptions'!B12</v>
      </c>
    </row>
    <row r="5" spans="1:6" ht="29" x14ac:dyDescent="0.35">
      <c r="A5" s="7" t="s">
        <v>155</v>
      </c>
      <c r="B5" s="6" t="s">
        <v>156</v>
      </c>
      <c r="C5" s="6" t="s">
        <v>157</v>
      </c>
      <c r="D5" s="11">
        <f>('Value Driver Inputs'!B5-'Entry and Exit Assumptions'!B5)*'Entry and Exit Assumptions'!B6*'Entry and Exit Assumptions'!B8</f>
        <v>24.352241587200041</v>
      </c>
      <c r="E5" s="20">
        <f t="shared" ref="E5:E11" si="1">IFERROR(D5/$D$17,0)</f>
        <v>0.31167255437940339</v>
      </c>
      <c r="F5" s="8" t="str">
        <f t="shared" ca="1" si="0"/>
        <v>=('Value Driver Inputs'!B5-'Entry and Exit Assumptions'!B5)*'Entry and Exit Assumptions'!B6*'Entry and Exit Assumptions'!B8</v>
      </c>
    </row>
    <row r="6" spans="1:6" x14ac:dyDescent="0.35">
      <c r="A6" s="7" t="s">
        <v>158</v>
      </c>
      <c r="B6" s="6" t="s">
        <v>159</v>
      </c>
      <c r="C6" s="6" t="s">
        <v>160</v>
      </c>
      <c r="D6" s="11">
        <f>'Value Driver Inputs'!B6*'Entry and Exit Assumptions'!B6*'Entry and Exit Assumptions'!B8</f>
        <v>14.399999999999999</v>
      </c>
      <c r="E6" s="20">
        <f t="shared" si="1"/>
        <v>0.18429863086700088</v>
      </c>
      <c r="F6" s="8" t="str">
        <f t="shared" ca="1" si="0"/>
        <v>='Value Driver Inputs'!B6*'Entry and Exit Assumptions'!B6*'Entry and Exit Assumptions'!B8</v>
      </c>
    </row>
    <row r="7" spans="1:6" x14ac:dyDescent="0.35">
      <c r="A7" s="7" t="s">
        <v>161</v>
      </c>
      <c r="B7" s="6" t="s">
        <v>162</v>
      </c>
      <c r="C7" s="6" t="s">
        <v>163</v>
      </c>
      <c r="D7" s="11">
        <f>'Value Driver Inputs'!B10*('Value Driver Inputs'!B11-'Entry and Exit Assumptions'!B6)*'Entry and Exit Assumptions'!B8</f>
        <v>14.766965544960019</v>
      </c>
      <c r="E7" s="20">
        <f t="shared" si="1"/>
        <v>0.18899524527752135</v>
      </c>
      <c r="F7" s="8" t="str">
        <f t="shared" ca="1" si="0"/>
        <v>='Value Driver Inputs'!B10*('Value Driver Inputs'!B11-'Entry and Exit Assumptions'!B6)*'Entry and Exit Assumptions'!B8</v>
      </c>
    </row>
    <row r="8" spans="1:6" x14ac:dyDescent="0.35">
      <c r="A8" s="7" t="s">
        <v>164</v>
      </c>
      <c r="B8" s="6" t="s">
        <v>165</v>
      </c>
      <c r="C8" s="6" t="s">
        <v>166</v>
      </c>
      <c r="D8" s="11">
        <f>'Value Driver Inputs'!B12*('Entry and Exit Assumptions'!B14-'Entry and Exit Assumptions'!B8)</f>
        <v>0</v>
      </c>
      <c r="E8" s="20">
        <f t="shared" si="1"/>
        <v>0</v>
      </c>
      <c r="F8" s="8" t="str">
        <f t="shared" ca="1" si="0"/>
        <v>='Value Driver Inputs'!B12*('Entry and Exit Assumptions'!B14-'Entry and Exit Assumptions'!B8)</v>
      </c>
    </row>
    <row r="9" spans="1:6" x14ac:dyDescent="0.35">
      <c r="A9" s="7" t="s">
        <v>167</v>
      </c>
      <c r="B9" s="6" t="s">
        <v>116</v>
      </c>
      <c r="C9" s="6" t="s">
        <v>168</v>
      </c>
      <c r="D9" s="11">
        <f>-'Value Driver Inputs'!B9</f>
        <v>-7.92</v>
      </c>
      <c r="E9" s="20">
        <f t="shared" si="1"/>
        <v>-0.10136424697685049</v>
      </c>
      <c r="F9" s="8" t="str">
        <f t="shared" ca="1" si="0"/>
        <v>=-'Value Driver Inputs'!B9</v>
      </c>
    </row>
    <row r="10" spans="1:6" x14ac:dyDescent="0.35">
      <c r="A10" s="7" t="s">
        <v>169</v>
      </c>
      <c r="B10" s="6" t="s">
        <v>170</v>
      </c>
      <c r="C10" s="6" t="s">
        <v>171</v>
      </c>
      <c r="D10" s="11">
        <f>'Value Driver Inputs'!E29</f>
        <v>26.027881069824012</v>
      </c>
      <c r="E10" s="20">
        <f t="shared" si="1"/>
        <v>0.33311825316234001</v>
      </c>
      <c r="F10" s="8" t="str">
        <f t="shared" ca="1" si="0"/>
        <v>='Value Driver Inputs'!E29</v>
      </c>
    </row>
    <row r="11" spans="1:6" x14ac:dyDescent="0.35">
      <c r="A11" s="7" t="s">
        <v>172</v>
      </c>
      <c r="B11" s="6" t="s">
        <v>173</v>
      </c>
      <c r="C11" s="6" t="s">
        <v>174</v>
      </c>
      <c r="D11" s="11">
        <f>'Value Driver Inputs'!F29</f>
        <v>6.5069702674560013</v>
      </c>
      <c r="E11" s="20">
        <f t="shared" si="1"/>
        <v>8.3279563290584988E-2</v>
      </c>
      <c r="F11" s="8" t="str">
        <f t="shared" ca="1" si="0"/>
        <v>='Value Driver Inputs'!F29</v>
      </c>
    </row>
    <row r="12" spans="1:6" x14ac:dyDescent="0.35">
      <c r="A12" s="7" t="s">
        <v>175</v>
      </c>
      <c r="B12" s="7" t="s">
        <v>176</v>
      </c>
      <c r="C12" s="6" t="s">
        <v>177</v>
      </c>
      <c r="D12" s="18">
        <f>D4+SUM(D5:D11)</f>
        <v>110.13405846944006</v>
      </c>
      <c r="E12" s="19"/>
      <c r="F12" s="8" t="str">
        <f t="shared" ca="1" si="0"/>
        <v>=D4+SUM(D5:D11)</v>
      </c>
    </row>
    <row r="13" spans="1:6" x14ac:dyDescent="0.35">
      <c r="A13" s="7" t="s">
        <v>178</v>
      </c>
      <c r="B13" s="6" t="s">
        <v>179</v>
      </c>
      <c r="C13" s="6" t="s">
        <v>180</v>
      </c>
      <c r="D13" s="11">
        <f>'Value Driver Inputs'!B12*'Entry and Exit Assumptions'!B14</f>
        <v>125.51920713216006</v>
      </c>
      <c r="F13" s="8" t="str">
        <f t="shared" ca="1" si="0"/>
        <v>='Value Driver Inputs'!B12*'Entry and Exit Assumptions'!B14</v>
      </c>
    </row>
    <row r="14" spans="1:6" x14ac:dyDescent="0.35">
      <c r="A14" s="7" t="s">
        <v>178</v>
      </c>
      <c r="B14" s="6" t="s">
        <v>181</v>
      </c>
      <c r="C14" s="6" t="s">
        <v>182</v>
      </c>
      <c r="D14" s="11">
        <f>'Entry and Exit Assumptions'!B10+'Value Driver Inputs'!B9-'Value Driver Inputs'!D29</f>
        <v>15.385148662719992</v>
      </c>
      <c r="F14" s="8" t="str">
        <f t="shared" ca="1" si="0"/>
        <v>='Entry and Exit Assumptions'!B10+'Value Driver Inputs'!B9-'Value Driver Inputs'!D29</v>
      </c>
    </row>
    <row r="15" spans="1:6" x14ac:dyDescent="0.35">
      <c r="A15" s="7" t="s">
        <v>178</v>
      </c>
      <c r="B15" s="6" t="s">
        <v>183</v>
      </c>
      <c r="C15" s="6" t="s">
        <v>184</v>
      </c>
      <c r="D15" s="11">
        <f>D13-D14</f>
        <v>110.13405846944008</v>
      </c>
      <c r="F15" s="8" t="str">
        <f t="shared" ca="1" si="0"/>
        <v>=D13-D14</v>
      </c>
    </row>
    <row r="16" spans="1:6" x14ac:dyDescent="0.35">
      <c r="A16" s="7" t="s">
        <v>178</v>
      </c>
      <c r="B16" s="6" t="s">
        <v>185</v>
      </c>
      <c r="C16" s="6" t="s">
        <v>186</v>
      </c>
      <c r="D16" s="11">
        <f>ROUND(D12-D15,6)</f>
        <v>0</v>
      </c>
      <c r="E16" s="21" t="str">
        <f>IF(ABS(D16)&lt;0.001,"OK - bridge reconciles","ERROR - bridge does not reconcile")</f>
        <v>OK - bridge reconciles</v>
      </c>
      <c r="F16" s="8" t="str">
        <f t="shared" ca="1" si="0"/>
        <v>=ROUND(D12-D15,6)</v>
      </c>
    </row>
    <row r="17" spans="1:6" x14ac:dyDescent="0.35">
      <c r="A17" s="7" t="s">
        <v>187</v>
      </c>
      <c r="B17" s="6" t="s">
        <v>188</v>
      </c>
      <c r="C17" s="6" t="s">
        <v>189</v>
      </c>
      <c r="D17" s="11">
        <f>D12-D4</f>
        <v>78.134058469440063</v>
      </c>
      <c r="F17" s="8" t="str">
        <f t="shared" ca="1" si="0"/>
        <v>=D12-D4</v>
      </c>
    </row>
    <row r="18" spans="1:6" x14ac:dyDescent="0.35">
      <c r="A18" s="7" t="s">
        <v>187</v>
      </c>
      <c r="B18" s="6" t="s">
        <v>190</v>
      </c>
      <c r="C18" s="6" t="s">
        <v>191</v>
      </c>
      <c r="D18" s="13">
        <f>D12/D4</f>
        <v>3.441689327170002</v>
      </c>
      <c r="F18" s="8" t="str">
        <f t="shared" ca="1" si="0"/>
        <v>=D12/D4</v>
      </c>
    </row>
    <row r="19" spans="1:6" x14ac:dyDescent="0.35">
      <c r="A19" s="7" t="s">
        <v>187</v>
      </c>
      <c r="B19" s="6" t="s">
        <v>192</v>
      </c>
      <c r="C19" s="6" t="s">
        <v>193</v>
      </c>
      <c r="D19" s="20">
        <f>D18^(1/'Entry and Exit Assumptions'!B13)-1</f>
        <v>0.28042555415940029</v>
      </c>
      <c r="F19" s="8" t="str">
        <f t="shared" ca="1" si="0"/>
        <v>=D18^(1/'Entry and Exit Assumptions'!B13)-1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0" customWidth="1"/>
    <col min="2" max="2" width="16" customWidth="1"/>
    <col min="3" max="3" width="14" customWidth="1"/>
    <col min="4" max="4" width="30" customWidth="1"/>
    <col min="5" max="5" width="16" customWidth="1"/>
    <col min="6" max="6" width="46" customWidth="1"/>
  </cols>
  <sheetData>
    <row r="1" spans="1:6" ht="18.5" x14ac:dyDescent="0.45">
      <c r="A1" s="1" t="s">
        <v>21</v>
      </c>
      <c r="B1" s="2"/>
      <c r="C1" s="2"/>
      <c r="D1" s="2"/>
      <c r="E1" s="2"/>
      <c r="F1" s="2"/>
    </row>
    <row r="2" spans="1:6" x14ac:dyDescent="0.35">
      <c r="A2" s="3" t="s">
        <v>194</v>
      </c>
    </row>
    <row r="3" spans="1:6" x14ac:dyDescent="0.35">
      <c r="A3" s="5" t="s">
        <v>148</v>
      </c>
      <c r="B3" s="5" t="s">
        <v>195</v>
      </c>
      <c r="C3" s="5" t="s">
        <v>150</v>
      </c>
      <c r="D3" s="5" t="s">
        <v>151</v>
      </c>
      <c r="E3" s="5" t="s">
        <v>196</v>
      </c>
      <c r="F3" s="5" t="s">
        <v>197</v>
      </c>
    </row>
    <row r="4" spans="1:6" x14ac:dyDescent="0.35">
      <c r="A4" s="22" t="str">
        <f>'Equity Value Creation Bridge'!B5</f>
        <v>Organic revenue growth</v>
      </c>
      <c r="B4" s="6" t="s">
        <v>198</v>
      </c>
      <c r="C4" s="11">
        <f>'Equity Value Creation Bridge'!D5</f>
        <v>24.352241587200041</v>
      </c>
      <c r="D4" s="20">
        <f>'Equity Value Creation Bridge'!E5</f>
        <v>0.31167255437940339</v>
      </c>
      <c r="E4" s="16">
        <f t="shared" ref="E4:E10" si="0">RANK(C4,$C$4:$C$10,0)</f>
        <v>2</v>
      </c>
      <c r="F4" s="6" t="s">
        <v>199</v>
      </c>
    </row>
    <row r="5" spans="1:6" x14ac:dyDescent="0.35">
      <c r="A5" s="22" t="str">
        <f>'Equity Value Creation Bridge'!B6</f>
        <v>Add-on revenue</v>
      </c>
      <c r="B5" s="6" t="s">
        <v>198</v>
      </c>
      <c r="C5" s="11">
        <f>'Equity Value Creation Bridge'!D6</f>
        <v>14.399999999999999</v>
      </c>
      <c r="D5" s="20">
        <f>'Equity Value Creation Bridge'!E6</f>
        <v>0.18429863086700088</v>
      </c>
      <c r="E5" s="16">
        <f t="shared" si="0"/>
        <v>4</v>
      </c>
      <c r="F5" s="6" t="s">
        <v>200</v>
      </c>
    </row>
    <row r="6" spans="1:6" x14ac:dyDescent="0.35">
      <c r="A6" s="22" t="str">
        <f>'Equity Value Creation Bridge'!B7</f>
        <v>Margin change</v>
      </c>
      <c r="B6" s="6" t="s">
        <v>198</v>
      </c>
      <c r="C6" s="11">
        <f>'Equity Value Creation Bridge'!D7</f>
        <v>14.766965544960019</v>
      </c>
      <c r="D6" s="20">
        <f>'Equity Value Creation Bridge'!E7</f>
        <v>0.18899524527752135</v>
      </c>
      <c r="E6" s="16">
        <f t="shared" si="0"/>
        <v>3</v>
      </c>
      <c r="F6" s="6" t="s">
        <v>201</v>
      </c>
    </row>
    <row r="7" spans="1:6" x14ac:dyDescent="0.35">
      <c r="A7" s="22" t="str">
        <f>'Equity Value Creation Bridge'!B8</f>
        <v>Multiple change</v>
      </c>
      <c r="B7" s="6" t="s">
        <v>202</v>
      </c>
      <c r="C7" s="11">
        <f>'Equity Value Creation Bridge'!D8</f>
        <v>0</v>
      </c>
      <c r="D7" s="20">
        <f>'Equity Value Creation Bridge'!E8</f>
        <v>0</v>
      </c>
      <c r="E7" s="16">
        <f t="shared" si="0"/>
        <v>6</v>
      </c>
      <c r="F7" s="6" t="s">
        <v>203</v>
      </c>
    </row>
    <row r="8" spans="1:6" x14ac:dyDescent="0.35">
      <c r="A8" s="22" t="str">
        <f>'Equity Value Creation Bridge'!B9</f>
        <v>Add-on purchase price (debt-funded)</v>
      </c>
      <c r="B8" s="6" t="s">
        <v>204</v>
      </c>
      <c r="C8" s="11">
        <f>'Equity Value Creation Bridge'!D9</f>
        <v>-7.92</v>
      </c>
      <c r="D8" s="20">
        <f>'Equity Value Creation Bridge'!E9</f>
        <v>-0.10136424697685049</v>
      </c>
      <c r="E8" s="16">
        <f t="shared" si="0"/>
        <v>7</v>
      </c>
      <c r="F8" s="6" t="s">
        <v>205</v>
      </c>
    </row>
    <row r="9" spans="1:6" x14ac:dyDescent="0.35">
      <c r="A9" s="22" t="str">
        <f>'Equity Value Creation Bridge'!B10</f>
        <v>Debt paydown</v>
      </c>
      <c r="B9" s="6" t="s">
        <v>204</v>
      </c>
      <c r="C9" s="11">
        <f>'Equity Value Creation Bridge'!D10</f>
        <v>26.027881069824012</v>
      </c>
      <c r="D9" s="20">
        <f>'Equity Value Creation Bridge'!E10</f>
        <v>0.33311825316234001</v>
      </c>
      <c r="E9" s="16">
        <f t="shared" si="0"/>
        <v>1</v>
      </c>
      <c r="F9" s="6" t="s">
        <v>206</v>
      </c>
    </row>
    <row r="10" spans="1:6" x14ac:dyDescent="0.35">
      <c r="A10" s="22" t="str">
        <f>'Equity Value Creation Bridge'!B11</f>
        <v>Cash generation (retained)</v>
      </c>
      <c r="B10" s="6" t="s">
        <v>204</v>
      </c>
      <c r="C10" s="11">
        <f>'Equity Value Creation Bridge'!D11</f>
        <v>6.5069702674560013</v>
      </c>
      <c r="D10" s="20">
        <f>'Equity Value Creation Bridge'!E11</f>
        <v>8.3279563290584988E-2</v>
      </c>
      <c r="E10" s="16">
        <f t="shared" si="0"/>
        <v>5</v>
      </c>
      <c r="F10" s="6" t="s">
        <v>207</v>
      </c>
    </row>
    <row r="12" spans="1:6" ht="15.5" x14ac:dyDescent="0.35">
      <c r="A12" s="4" t="s">
        <v>208</v>
      </c>
    </row>
    <row r="13" spans="1:6" x14ac:dyDescent="0.35">
      <c r="A13" s="5" t="s">
        <v>209</v>
      </c>
      <c r="B13" s="5" t="s">
        <v>54</v>
      </c>
      <c r="C13" s="5" t="s">
        <v>210</v>
      </c>
      <c r="D13" s="5" t="s">
        <v>211</v>
      </c>
    </row>
    <row r="14" spans="1:6" x14ac:dyDescent="0.35">
      <c r="A14" s="7" t="s">
        <v>212</v>
      </c>
      <c r="B14" s="11">
        <f>SUMIF(B4:B10,"Operational",C4:C10)</f>
        <v>53.519207132160062</v>
      </c>
      <c r="C14" s="23"/>
      <c r="D14" s="6"/>
    </row>
    <row r="15" spans="1:6" x14ac:dyDescent="0.35">
      <c r="A15" s="7" t="s">
        <v>213</v>
      </c>
      <c r="B15" s="11">
        <f>SUMIF(B4:B10,"Market",C4:C10)</f>
        <v>0</v>
      </c>
      <c r="C15" s="23"/>
      <c r="D15" s="6"/>
    </row>
    <row r="16" spans="1:6" x14ac:dyDescent="0.35">
      <c r="A16" s="7" t="s">
        <v>214</v>
      </c>
      <c r="B16" s="11">
        <f>SUMIF(B4:B10,"Financial",C4:C10)</f>
        <v>24.614851337280012</v>
      </c>
      <c r="C16" s="23"/>
      <c r="D16" s="6"/>
    </row>
    <row r="17" spans="1:4" x14ac:dyDescent="0.35">
      <c r="A17" s="7" t="s">
        <v>215</v>
      </c>
      <c r="B17" s="20">
        <f>IFERROR(B14/'Equity Value Creation Bridge'!D17,0)</f>
        <v>0.6849664305239257</v>
      </c>
      <c r="C17" s="20">
        <f>'Entry and Exit Assumptions'!B21</f>
        <v>0.5</v>
      </c>
      <c r="D17" s="8" t="str">
        <f>IF(B17&gt;=C17,"PASS - at or above minimum","FAIL - below minimum")</f>
        <v>PASS - at or above minimum</v>
      </c>
    </row>
    <row r="18" spans="1:4" x14ac:dyDescent="0.35">
      <c r="A18" s="7" t="s">
        <v>216</v>
      </c>
      <c r="B18" s="20">
        <f>IFERROR(B15/'Equity Value Creation Bridge'!D17,0)</f>
        <v>0</v>
      </c>
      <c r="C18" s="20">
        <f>'Entry and Exit Assumptions'!B20</f>
        <v>0.25</v>
      </c>
      <c r="D18" s="8" t="str">
        <f>IF(B18&lt;=C18,"PASS - at or below maximum","FAIL - above maximum")</f>
        <v>PASS - at or below maximum</v>
      </c>
    </row>
    <row r="19" spans="1:4" x14ac:dyDescent="0.35">
      <c r="A19" s="7" t="s">
        <v>217</v>
      </c>
      <c r="B19" s="8" t="str">
        <f>INDEX(A4:A10,MATCH(1,E4:E10,0))</f>
        <v>Debt paydown</v>
      </c>
      <c r="C19" s="6"/>
      <c r="D19" s="6"/>
    </row>
    <row r="20" spans="1:4" x14ac:dyDescent="0.35">
      <c r="A20" s="7" t="s">
        <v>218</v>
      </c>
      <c r="B20" s="20">
        <f>INDEX(D4:D10,MATCH(1,E4:E10,0))</f>
        <v>0.33311825316234001</v>
      </c>
      <c r="C20" s="19"/>
      <c r="D20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4" customWidth="1"/>
    <col min="2" max="2" width="70" customWidth="1"/>
    <col min="3" max="3" width="46" customWidth="1"/>
  </cols>
  <sheetData>
    <row r="1" spans="1:3" ht="18.5" x14ac:dyDescent="0.45">
      <c r="A1" s="1" t="s">
        <v>23</v>
      </c>
      <c r="B1" s="2"/>
      <c r="C1" s="2"/>
    </row>
    <row r="2" spans="1:3" x14ac:dyDescent="0.35">
      <c r="A2" s="3" t="s">
        <v>219</v>
      </c>
    </row>
    <row r="3" spans="1:3" x14ac:dyDescent="0.35">
      <c r="A3" s="5" t="s">
        <v>220</v>
      </c>
      <c r="B3" s="5" t="s">
        <v>54</v>
      </c>
      <c r="C3" s="5" t="s">
        <v>221</v>
      </c>
    </row>
    <row r="4" spans="1:3" x14ac:dyDescent="0.35">
      <c r="A4" s="7" t="s">
        <v>78</v>
      </c>
      <c r="B4" s="11">
        <f>'Equity Value Creation Bridge'!D4</f>
        <v>32</v>
      </c>
      <c r="C4" s="6" t="s">
        <v>222</v>
      </c>
    </row>
    <row r="5" spans="1:3" x14ac:dyDescent="0.35">
      <c r="A5" s="7" t="s">
        <v>223</v>
      </c>
      <c r="B5" s="11">
        <f>'Equity Value Creation Bridge'!D12</f>
        <v>110.13405846944006</v>
      </c>
      <c r="C5" s="6" t="s">
        <v>224</v>
      </c>
    </row>
    <row r="6" spans="1:3" x14ac:dyDescent="0.35">
      <c r="A6" s="7" t="s">
        <v>188</v>
      </c>
      <c r="B6" s="11">
        <f>'Equity Value Creation Bridge'!D17</f>
        <v>78.134058469440063</v>
      </c>
      <c r="C6" s="6" t="s">
        <v>225</v>
      </c>
    </row>
    <row r="7" spans="1:3" x14ac:dyDescent="0.35">
      <c r="A7" s="7" t="s">
        <v>190</v>
      </c>
      <c r="B7" s="13">
        <f>'Equity Value Creation Bridge'!D18</f>
        <v>3.441689327170002</v>
      </c>
      <c r="C7" s="6" t="s">
        <v>226</v>
      </c>
    </row>
    <row r="8" spans="1:3" x14ac:dyDescent="0.35">
      <c r="A8" s="7" t="s">
        <v>192</v>
      </c>
      <c r="B8" s="20">
        <f>'Equity Value Creation Bridge'!D19</f>
        <v>0.28042555415940029</v>
      </c>
      <c r="C8" s="6" t="s">
        <v>227</v>
      </c>
    </row>
    <row r="9" spans="1:3" x14ac:dyDescent="0.35">
      <c r="A9" s="7" t="s">
        <v>87</v>
      </c>
      <c r="B9" s="13">
        <f>'Entry and Exit Assumptions'!B16</f>
        <v>2.5</v>
      </c>
      <c r="C9" s="6" t="s">
        <v>53</v>
      </c>
    </row>
    <row r="10" spans="1:3" x14ac:dyDescent="0.35">
      <c r="A10" s="7" t="s">
        <v>89</v>
      </c>
      <c r="B10" s="20">
        <f>'Entry and Exit Assumptions'!B17</f>
        <v>0.2</v>
      </c>
      <c r="C10" s="6" t="s">
        <v>53</v>
      </c>
    </row>
    <row r="11" spans="1:3" x14ac:dyDescent="0.35">
      <c r="A11" s="7" t="s">
        <v>215</v>
      </c>
      <c r="B11" s="20">
        <f>'Lever Impact Ranking'!B17</f>
        <v>0.6849664305239257</v>
      </c>
      <c r="C11" s="6" t="s">
        <v>228</v>
      </c>
    </row>
    <row r="12" spans="1:3" x14ac:dyDescent="0.35">
      <c r="A12" s="7" t="s">
        <v>229</v>
      </c>
      <c r="B12" s="20">
        <f>'Entry and Exit Assumptions'!B21</f>
        <v>0.5</v>
      </c>
      <c r="C12" s="6" t="s">
        <v>53</v>
      </c>
    </row>
    <row r="13" spans="1:3" x14ac:dyDescent="0.35">
      <c r="A13" s="7" t="s">
        <v>216</v>
      </c>
      <c r="B13" s="20">
        <f>'Lever Impact Ranking'!B18</f>
        <v>0</v>
      </c>
      <c r="C13" s="6" t="s">
        <v>230</v>
      </c>
    </row>
    <row r="14" spans="1:3" x14ac:dyDescent="0.35">
      <c r="A14" s="7" t="s">
        <v>231</v>
      </c>
      <c r="B14" s="20">
        <f>'Entry and Exit Assumptions'!B20</f>
        <v>0.25</v>
      </c>
      <c r="C14" s="6" t="s">
        <v>53</v>
      </c>
    </row>
    <row r="15" spans="1:3" ht="15.5" x14ac:dyDescent="0.35">
      <c r="A15" s="4" t="s">
        <v>232</v>
      </c>
    </row>
    <row r="16" spans="1:3" x14ac:dyDescent="0.35">
      <c r="A16" s="7" t="s">
        <v>233</v>
      </c>
      <c r="B16" s="11">
        <f>'Entry and Exit Assumptions'!B5*(1+'Value Driver Inputs'!B4*'Entry and Exit Assumptions'!B23)^'Entry and Exit Assumptions'!B13</f>
        <v>69.556444457999987</v>
      </c>
      <c r="C16" s="6" t="s">
        <v>234</v>
      </c>
    </row>
    <row r="17" spans="1:3" x14ac:dyDescent="0.35">
      <c r="A17" s="7" t="s">
        <v>235</v>
      </c>
      <c r="B17" s="20">
        <f>'Entry and Exit Assumptions'!B6+('Value Driver Inputs'!B11-'Entry and Exit Assumptions'!B6)*'Entry and Exit Assumptions'!B24</f>
        <v>0.15</v>
      </c>
      <c r="C17" s="6" t="s">
        <v>236</v>
      </c>
    </row>
    <row r="18" spans="1:3" x14ac:dyDescent="0.35">
      <c r="A18" s="7" t="s">
        <v>237</v>
      </c>
      <c r="B18" s="11">
        <f>(B16+'Value Driver Inputs'!B6)*B17</f>
        <v>12.233466668699998</v>
      </c>
      <c r="C18" s="6" t="s">
        <v>238</v>
      </c>
    </row>
    <row r="19" spans="1:3" x14ac:dyDescent="0.35">
      <c r="A19" s="7" t="s">
        <v>239</v>
      </c>
      <c r="B19" s="13">
        <f>'Entry and Exit Assumptions'!B14-'Entry and Exit Assumptions'!B22</f>
        <v>7</v>
      </c>
      <c r="C19" s="6" t="s">
        <v>240</v>
      </c>
    </row>
    <row r="20" spans="1:3" x14ac:dyDescent="0.35">
      <c r="A20" s="7" t="s">
        <v>241</v>
      </c>
      <c r="B20" s="11">
        <f>'Value Driver Inputs'!B14*('Entry and Exit Assumptions'!B13*'Entry and Exit Assumptions'!B7+(B18-'Entry and Exit Assumptions'!B7)*('Entry and Exit Assumptions'!B13+1)/2)</f>
        <v>27.350200003049999</v>
      </c>
      <c r="C20" s="6" t="s">
        <v>242</v>
      </c>
    </row>
    <row r="21" spans="1:3" x14ac:dyDescent="0.35">
      <c r="A21" s="7" t="s">
        <v>243</v>
      </c>
      <c r="B21" s="11">
        <f>'Entry and Exit Assumptions'!B10+'Value Driver Inputs'!B9-B20</f>
        <v>20.569799996950003</v>
      </c>
      <c r="C21" s="6" t="s">
        <v>244</v>
      </c>
    </row>
    <row r="22" spans="1:3" x14ac:dyDescent="0.35">
      <c r="A22" s="7" t="s">
        <v>245</v>
      </c>
      <c r="B22" s="11">
        <f>B18*B19-B21</f>
        <v>65.064466683949973</v>
      </c>
      <c r="C22" s="6" t="s">
        <v>246</v>
      </c>
    </row>
    <row r="23" spans="1:3" x14ac:dyDescent="0.35">
      <c r="A23" s="7" t="s">
        <v>247</v>
      </c>
      <c r="B23" s="13">
        <f>B22/B4</f>
        <v>2.0332645838734367</v>
      </c>
      <c r="C23" s="6" t="s">
        <v>248</v>
      </c>
    </row>
    <row r="24" spans="1:3" x14ac:dyDescent="0.35">
      <c r="A24" s="7" t="s">
        <v>249</v>
      </c>
      <c r="B24" s="13">
        <f>'Entry and Exit Assumptions'!B19</f>
        <v>1.25</v>
      </c>
      <c r="C24" s="6" t="s">
        <v>53</v>
      </c>
    </row>
    <row r="25" spans="1:3" x14ac:dyDescent="0.35">
      <c r="A25" s="7" t="s">
        <v>90</v>
      </c>
      <c r="B25" s="13">
        <f>'Entry and Exit Assumptions'!B18</f>
        <v>1.75</v>
      </c>
      <c r="C25" s="6" t="s">
        <v>53</v>
      </c>
    </row>
    <row r="26" spans="1:3" x14ac:dyDescent="0.35">
      <c r="A26" s="7" t="s">
        <v>250</v>
      </c>
      <c r="B26" s="8" t="str">
        <f>'Equity Value Creation Bridge'!E16</f>
        <v>OK - bridge reconciles</v>
      </c>
      <c r="C26" s="6" t="s">
        <v>251</v>
      </c>
    </row>
    <row r="27" spans="1:3" ht="29" x14ac:dyDescent="0.35">
      <c r="A27" s="7" t="s">
        <v>252</v>
      </c>
      <c r="B27" s="24" t="str">
        <f>IF(B26&lt;&gt;"OK - bridge reconciles","CHECK MODEL - BRIDGE DOES NOT RECONCILE",IF(OR(B7&lt;B25,B23&lt;B24),"DO NOT UNDERWRITE AT CURRENT TERMS",IF(AND(B7&gt;=B9,B8&gt;=B10,B11&gt;=B12,B13&lt;=B14),"UNDERWRITE - VALUE CREATION PLAN SUPPORTS RETURNS","UNDERWRITE WITH CONDITIONS - REBALANCE LEVER RELIANCE")))</f>
        <v>UNDERWRITE - VALUE CREATION PLAN SUPPORTS RETURNS</v>
      </c>
      <c r="C27" s="6" t="s">
        <v>253</v>
      </c>
    </row>
    <row r="28" spans="1:3" ht="29" x14ac:dyDescent="0.35">
      <c r="A28" s="7" t="s">
        <v>254</v>
      </c>
      <c r="B28" s="8" t="str">
        <f>"Base MOIC "&amp;TEXT(B7,"0.00")&amp;"x vs target "&amp;TEXT(B9,"0.00")&amp;"x; IRR "&amp;TEXT(B8,"0.0%")&amp;" vs "&amp;TEXT(B10,"0.0%")&amp;"; operational share "&amp;TEXT(B11,"0%")&amp;" (min "&amp;TEXT(B12,"0%")&amp;"); multiple share "&amp;TEXT(B13,"0%")&amp;" (max "&amp;TEXT(B14,"0%")&amp;"); downside MOIC "&amp;TEXT(B23,"0.00")&amp;"x (floor "&amp;TEXT(B24,"0.00")&amp;"x)."</f>
        <v>Base MOIC 3.44x vs target 2.50x; IRR 28.0% vs 20.0%; operational share 68% (min 50%); multiple share 0% (max 25%); downside MOIC 2.03x (floor 1.25x).</v>
      </c>
    </row>
    <row r="29" spans="1:3" ht="72.5" x14ac:dyDescent="0.35">
      <c r="A29" s="7" t="s">
        <v>255</v>
      </c>
      <c r="B29" s="8" t="str">
        <f ca="1">_xlfn.FORMULATEXT(B27)</f>
        <v>=IF(B26&lt;&gt;"OK - bridge reconciles","CHECK MODEL - BRIDGE DOES NOT RECONCILE",IF(OR(B7&lt;B25,B23&lt;B24),"DO NOT UNDERWRITE AT CURRENT TERMS",IF(AND(B7&gt;=B9,B8&gt;=B10,B11&gt;=B12,B13&lt;=B14),"UNDERWRITE - VALUE CREATION PLAN SUPPORTS RETURNS","UNDERWRITE WITH CONDITIONS - REBALANCE LEVER RELIANCE")))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3"/>
  <sheetViews>
    <sheetView workbookViewId="0"/>
  </sheetViews>
  <sheetFormatPr defaultRowHeight="14.5" x14ac:dyDescent="0.35"/>
  <cols>
    <col min="1" max="1" width="36" customWidth="1"/>
    <col min="2" max="2" width="64" customWidth="1"/>
    <col min="3" max="3" width="28" customWidth="1"/>
    <col min="4" max="4" width="30" customWidth="1"/>
    <col min="5" max="5" width="22" customWidth="1"/>
    <col min="6" max="6" width="70" customWidth="1"/>
  </cols>
  <sheetData>
    <row r="1" spans="1:6" ht="18.5" x14ac:dyDescent="0.45">
      <c r="A1" s="1" t="s">
        <v>256</v>
      </c>
      <c r="B1" s="2"/>
      <c r="C1" s="2"/>
      <c r="D1" s="2"/>
      <c r="E1" s="2"/>
      <c r="F1" s="2"/>
    </row>
    <row r="2" spans="1:6" x14ac:dyDescent="0.35">
      <c r="A2" s="3" t="s">
        <v>257</v>
      </c>
    </row>
    <row r="3" spans="1:6" ht="15.5" x14ac:dyDescent="0.35">
      <c r="A3" s="4" t="s">
        <v>258</v>
      </c>
    </row>
    <row r="4" spans="1:6" x14ac:dyDescent="0.35">
      <c r="A4" s="5" t="s">
        <v>259</v>
      </c>
      <c r="B4" s="5" t="s">
        <v>54</v>
      </c>
      <c r="C4" s="5" t="s">
        <v>55</v>
      </c>
    </row>
    <row r="5" spans="1:6" x14ac:dyDescent="0.35">
      <c r="A5" s="7" t="s">
        <v>67</v>
      </c>
      <c r="B5" s="11">
        <f>'Entry and Exit Assumptions'!B7</f>
        <v>9</v>
      </c>
      <c r="C5" s="6" t="s">
        <v>62</v>
      </c>
    </row>
    <row r="6" spans="1:6" x14ac:dyDescent="0.35">
      <c r="A6" s="7" t="s">
        <v>69</v>
      </c>
      <c r="B6" s="13">
        <f>'Entry and Exit Assumptions'!B8</f>
        <v>8</v>
      </c>
      <c r="C6" s="6" t="s">
        <v>70</v>
      </c>
    </row>
    <row r="7" spans="1:6" x14ac:dyDescent="0.35">
      <c r="A7" s="7" t="s">
        <v>78</v>
      </c>
      <c r="B7" s="11">
        <f>'Entry and Exit Assumptions'!B12</f>
        <v>32</v>
      </c>
      <c r="C7" s="6" t="s">
        <v>62</v>
      </c>
    </row>
    <row r="8" spans="1:6" x14ac:dyDescent="0.35">
      <c r="A8" s="7" t="s">
        <v>122</v>
      </c>
      <c r="B8" s="11">
        <f>'Value Driver Inputs'!B12</f>
        <v>15.689900891520008</v>
      </c>
      <c r="C8" s="6" t="s">
        <v>62</v>
      </c>
    </row>
    <row r="9" spans="1:6" x14ac:dyDescent="0.35">
      <c r="A9" s="7" t="s">
        <v>260</v>
      </c>
      <c r="B9" s="13">
        <f>'Entry and Exit Assumptions'!B14</f>
        <v>8</v>
      </c>
      <c r="C9" s="6" t="s">
        <v>70</v>
      </c>
    </row>
    <row r="10" spans="1:6" x14ac:dyDescent="0.35">
      <c r="A10" s="7" t="s">
        <v>80</v>
      </c>
      <c r="B10" s="16">
        <f>'Entry and Exit Assumptions'!B13</f>
        <v>5</v>
      </c>
      <c r="C10" s="6" t="s">
        <v>81</v>
      </c>
    </row>
    <row r="12" spans="1:6" ht="15.5" x14ac:dyDescent="0.35">
      <c r="A12" s="4" t="s">
        <v>261</v>
      </c>
    </row>
    <row r="13" spans="1:6" x14ac:dyDescent="0.35">
      <c r="A13" s="5" t="s">
        <v>262</v>
      </c>
      <c r="B13" s="5" t="s">
        <v>150</v>
      </c>
      <c r="C13" s="5" t="s">
        <v>151</v>
      </c>
    </row>
    <row r="14" spans="1:6" x14ac:dyDescent="0.35">
      <c r="A14" s="22" t="str">
        <f>'Equity Value Creation Bridge'!B4</f>
        <v>Entry equity value</v>
      </c>
      <c r="B14" s="18">
        <f>'Equity Value Creation Bridge'!D4</f>
        <v>32</v>
      </c>
      <c r="C14" s="19"/>
    </row>
    <row r="15" spans="1:6" x14ac:dyDescent="0.35">
      <c r="A15" s="8" t="str">
        <f>'Equity Value Creation Bridge'!B5</f>
        <v>Organic revenue growth</v>
      </c>
      <c r="B15" s="11">
        <f>'Equity Value Creation Bridge'!D5</f>
        <v>24.352241587200041</v>
      </c>
      <c r="C15" s="20">
        <f>'Equity Value Creation Bridge'!E5</f>
        <v>0.31167255437940339</v>
      </c>
    </row>
    <row r="16" spans="1:6" x14ac:dyDescent="0.35">
      <c r="A16" s="8" t="str">
        <f>'Equity Value Creation Bridge'!B6</f>
        <v>Add-on revenue</v>
      </c>
      <c r="B16" s="11">
        <f>'Equity Value Creation Bridge'!D6</f>
        <v>14.399999999999999</v>
      </c>
      <c r="C16" s="20">
        <f>'Equity Value Creation Bridge'!E6</f>
        <v>0.18429863086700088</v>
      </c>
    </row>
    <row r="17" spans="1:6" x14ac:dyDescent="0.35">
      <c r="A17" s="8" t="str">
        <f>'Equity Value Creation Bridge'!B7</f>
        <v>Margin change</v>
      </c>
      <c r="B17" s="11">
        <f>'Equity Value Creation Bridge'!D7</f>
        <v>14.766965544960019</v>
      </c>
      <c r="C17" s="20">
        <f>'Equity Value Creation Bridge'!E7</f>
        <v>0.18899524527752135</v>
      </c>
    </row>
    <row r="18" spans="1:6" x14ac:dyDescent="0.35">
      <c r="A18" s="8" t="str">
        <f>'Equity Value Creation Bridge'!B8</f>
        <v>Multiple change</v>
      </c>
      <c r="B18" s="11">
        <f>'Equity Value Creation Bridge'!D8</f>
        <v>0</v>
      </c>
      <c r="C18" s="20">
        <f>'Equity Value Creation Bridge'!E8</f>
        <v>0</v>
      </c>
    </row>
    <row r="19" spans="1:6" x14ac:dyDescent="0.35">
      <c r="A19" s="8" t="str">
        <f>'Equity Value Creation Bridge'!B9</f>
        <v>Add-on purchase price (debt-funded)</v>
      </c>
      <c r="B19" s="11">
        <f>'Equity Value Creation Bridge'!D9</f>
        <v>-7.92</v>
      </c>
      <c r="C19" s="20">
        <f>'Equity Value Creation Bridge'!E9</f>
        <v>-0.10136424697685049</v>
      </c>
    </row>
    <row r="20" spans="1:6" x14ac:dyDescent="0.35">
      <c r="A20" s="8" t="str">
        <f>'Equity Value Creation Bridge'!B10</f>
        <v>Debt paydown</v>
      </c>
      <c r="B20" s="11">
        <f>'Equity Value Creation Bridge'!D10</f>
        <v>26.027881069824012</v>
      </c>
      <c r="C20" s="20">
        <f>'Equity Value Creation Bridge'!E10</f>
        <v>0.33311825316234001</v>
      </c>
    </row>
    <row r="21" spans="1:6" x14ac:dyDescent="0.35">
      <c r="A21" s="8" t="str">
        <f>'Equity Value Creation Bridge'!B11</f>
        <v>Cash generation (retained)</v>
      </c>
      <c r="B21" s="11">
        <f>'Equity Value Creation Bridge'!D11</f>
        <v>6.5069702674560013</v>
      </c>
      <c r="C21" s="20">
        <f>'Equity Value Creation Bridge'!E11</f>
        <v>8.3279563290584988E-2</v>
      </c>
    </row>
    <row r="22" spans="1:6" x14ac:dyDescent="0.35">
      <c r="A22" s="22" t="str">
        <f>'Equity Value Creation Bridge'!B12</f>
        <v>Exit equity value (bridge)</v>
      </c>
      <c r="B22" s="18">
        <f>'Equity Value Creation Bridge'!D12</f>
        <v>110.13405846944006</v>
      </c>
      <c r="C22" s="19"/>
    </row>
    <row r="24" spans="1:6" ht="15.5" x14ac:dyDescent="0.35">
      <c r="A24" s="4" t="s">
        <v>263</v>
      </c>
    </row>
    <row r="25" spans="1:6" ht="29" x14ac:dyDescent="0.35">
      <c r="A25" s="5" t="s">
        <v>264</v>
      </c>
      <c r="B25" s="5" t="s">
        <v>265</v>
      </c>
      <c r="C25" s="5" t="s">
        <v>266</v>
      </c>
      <c r="D25" s="5" t="s">
        <v>267</v>
      </c>
      <c r="E25" s="5" t="s">
        <v>268</v>
      </c>
      <c r="F25" s="5" t="s">
        <v>269</v>
      </c>
    </row>
    <row r="26" spans="1:6" ht="29" x14ac:dyDescent="0.35">
      <c r="A26" s="7" t="s">
        <v>270</v>
      </c>
      <c r="B26" s="6" t="s">
        <v>271</v>
      </c>
      <c r="C26" s="8" t="str">
        <f>TEXT('Entry and Exit Assumptions'!B14,"0.0")&amp;"x exit multiple"</f>
        <v>8.0x exit multiple</v>
      </c>
      <c r="D26" s="8" t="str">
        <f>TEXT('Entry and Exit Assumptions'!B15,"0.0")&amp;"x management comp set"</f>
        <v>9.5x management comp set</v>
      </c>
      <c r="E26" s="11">
        <f>'Value Driver Inputs'!B12*('Entry and Exit Assumptions'!B15-'Entry and Exit Assumptions'!B14)</f>
        <v>23.53485133728001</v>
      </c>
      <c r="F26" s="6" t="s">
        <v>272</v>
      </c>
    </row>
    <row r="27" spans="1:6" ht="29" x14ac:dyDescent="0.35">
      <c r="A27" s="7" t="s">
        <v>273</v>
      </c>
      <c r="B27" s="6" t="s">
        <v>274</v>
      </c>
      <c r="C27" s="8" t="str">
        <f>"+"&amp;TEXT(('Value Driver Inputs'!B11-'Entry and Exit Assumptions'!B6)*10000,"0")&amp;" bps credited"</f>
        <v>+200 bps credited</v>
      </c>
      <c r="D27" s="8" t="str">
        <f>"+"&amp;TEXT(('Value Driver Inputs'!B16-'Entry and Exit Assumptions'!B6)*10000,"0")&amp;" bps management plan"</f>
        <v>+400 bps management plan</v>
      </c>
      <c r="E27" s="11">
        <f>'Value Driver Inputs'!B10*('Value Driver Inputs'!B16-'Value Driver Inputs'!B11)*'Entry and Exit Assumptions'!B14</f>
        <v>14.766965544959998</v>
      </c>
      <c r="F27" s="6" t="s">
        <v>275</v>
      </c>
    </row>
    <row r="28" spans="1:6" ht="29" x14ac:dyDescent="0.35">
      <c r="A28" s="7" t="s">
        <v>276</v>
      </c>
      <c r="B28" s="6" t="s">
        <v>277</v>
      </c>
      <c r="C28" s="8" t="str">
        <f>"$"&amp;TEXT('Value Driver Inputs'!B6,"0.0")&amp;"M signed-LOI add-on"</f>
        <v>$12.0M signed-LOI add-on</v>
      </c>
      <c r="D28" s="8" t="str">
        <f>"+$"&amp;TEXT('Value Driver Inputs'!B18,"0.0")&amp;"M unsigned pipeline"</f>
        <v>+$20.0M unsigned pipeline</v>
      </c>
      <c r="E28" s="11">
        <f>'Value Driver Inputs'!B18*'Value Driver Inputs'!B7*('Entry and Exit Assumptions'!B14-'Value Driver Inputs'!B8)</f>
        <v>6</v>
      </c>
      <c r="F28" s="6" t="s">
        <v>278</v>
      </c>
    </row>
    <row r="29" spans="1:6" ht="29" x14ac:dyDescent="0.35">
      <c r="A29" s="7" t="s">
        <v>279</v>
      </c>
      <c r="B29" s="6" t="s">
        <v>280</v>
      </c>
      <c r="C29" s="8" t="str">
        <f>TEXT('Value Driver Inputs'!B14,"0%")&amp;" FCF / EBITDA"</f>
        <v>50% FCF / EBITDA</v>
      </c>
      <c r="D29" s="8" t="str">
        <f>TEXT('Value Driver Inputs'!B17,"0%")&amp;" management case"</f>
        <v>65% management case</v>
      </c>
      <c r="E29" s="11">
        <f>('Value Driver Inputs'!B17-'Value Driver Inputs'!B14)*'Value Driver Inputs'!C29</f>
        <v>9.7604554011840037</v>
      </c>
      <c r="F29" s="6" t="s">
        <v>281</v>
      </c>
    </row>
    <row r="30" spans="1:6" ht="29" x14ac:dyDescent="0.35">
      <c r="A30" s="7" t="s">
        <v>144</v>
      </c>
      <c r="B30" s="6" t="s">
        <v>282</v>
      </c>
      <c r="E30" s="18">
        <f>SUM(E26:E29)</f>
        <v>54.062272283424008</v>
      </c>
    </row>
    <row r="32" spans="1:6" ht="15.5" x14ac:dyDescent="0.35">
      <c r="A32" s="4" t="s">
        <v>187</v>
      </c>
    </row>
    <row r="33" spans="1:2" x14ac:dyDescent="0.35">
      <c r="A33" s="7" t="s">
        <v>190</v>
      </c>
      <c r="B33" s="13">
        <f>'Summary Recommendation'!B7</f>
        <v>3.441689327170002</v>
      </c>
    </row>
    <row r="34" spans="1:2" x14ac:dyDescent="0.35">
      <c r="A34" s="7" t="s">
        <v>192</v>
      </c>
      <c r="B34" s="20">
        <f>'Summary Recommendation'!B8</f>
        <v>0.28042555415940029</v>
      </c>
    </row>
    <row r="35" spans="1:2" x14ac:dyDescent="0.35">
      <c r="A35" s="7" t="s">
        <v>247</v>
      </c>
      <c r="B35" s="13">
        <f>'Summary Recommendation'!B23</f>
        <v>2.0332645838734367</v>
      </c>
    </row>
    <row r="36" spans="1:2" x14ac:dyDescent="0.35">
      <c r="A36" s="7" t="s">
        <v>217</v>
      </c>
      <c r="B36" s="8" t="str">
        <f>'Lever Impact Ranking'!B19</f>
        <v>Debt paydown</v>
      </c>
    </row>
    <row r="37" spans="1:2" x14ac:dyDescent="0.35">
      <c r="A37" s="7" t="s">
        <v>252</v>
      </c>
      <c r="B37" s="24" t="str">
        <f>'Summary Recommendation'!B27</f>
        <v>UNDERWRITE - VALUE CREATION PLAN SUPPORTS RETURNS</v>
      </c>
    </row>
    <row r="38" spans="1:2" x14ac:dyDescent="0.35">
      <c r="A38" s="7" t="s">
        <v>254</v>
      </c>
      <c r="B38" s="8" t="str">
        <f>'Summary Recommendation'!B28</f>
        <v>Base MOIC 3.44x vs target 2.50x; IRR 28.0% vs 20.0%; operational share 68% (min 50%); multiple share 0% (max 25%); downside MOIC 2.03x (floor 1.25x).</v>
      </c>
    </row>
    <row r="40" spans="1:2" ht="15.5" x14ac:dyDescent="0.35">
      <c r="A40" s="4" t="s">
        <v>283</v>
      </c>
    </row>
    <row r="41" spans="1:2" x14ac:dyDescent="0.35">
      <c r="A41" t="s">
        <v>284</v>
      </c>
    </row>
    <row r="42" spans="1:2" x14ac:dyDescent="0.35">
      <c r="A42" t="s">
        <v>285</v>
      </c>
    </row>
    <row r="43" spans="1:2" x14ac:dyDescent="0.35">
      <c r="A43" t="s">
        <v>286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 - Validator Instructions</vt:lpstr>
      <vt:lpstr>Entry and Exit Assumptions</vt:lpstr>
      <vt:lpstr>Value Driver Inputs</vt:lpstr>
      <vt:lpstr>Equity Value Creation Bridge</vt:lpstr>
      <vt:lpstr>Lever Impact Ranking</vt:lpstr>
      <vt:lpstr>Summary Recommendation</vt:lpstr>
      <vt:lpstr>Anonymized Worked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Preston Arnold</cp:lastModifiedBy>
  <dcterms:created xsi:type="dcterms:W3CDTF">2026-10-04T02:55:00Z</dcterms:created>
  <dcterms:modified xsi:type="dcterms:W3CDTF">2026-10-04T02:55:09Z</dcterms:modified>
</cp:coreProperties>
</file>